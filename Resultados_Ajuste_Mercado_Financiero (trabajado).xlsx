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tos Completos" sheetId="1" state="visible" r:id="rId2"/>
    <sheet name="Comparativa P-Values" sheetId="2" state="visible" r:id="rId3"/>
    <sheet name="Hoja3" sheetId="3" state="visible" r:id="rId4"/>
    <sheet name="Hoja4" sheetId="4" state="visible" r:id="rId5"/>
    <sheet name="Hoja5" sheetId="5" state="visible" r:id="rId6"/>
  </sheets>
  <definedNames>
    <definedName function="false" hidden="true" localSheetId="0" name="_xlnm._FilterDatabase" vbProcedure="false">'Datos Completos'!$A$1:$I$71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<sst xmlns="http://schemas.openxmlformats.org/spreadsheetml/2006/main" count="444" uniqueCount="40">
  <si>
    <t xml:space="preserve">Horizonte temporal</t>
  </si>
  <si>
    <t xml:space="preserve">Sector</t>
  </si>
  <si>
    <t xml:space="preserve">Distribución</t>
  </si>
  <si>
    <t xml:space="preserve">Loc (Mu)</t>
  </si>
  <si>
    <t xml:space="preserve">Scale (Sigma)</t>
  </si>
  <si>
    <t xml:space="preserve">KS Statistic</t>
  </si>
  <si>
    <t xml:space="preserve">P-Value</t>
  </si>
  <si>
    <t xml:space="preserve">Alpha</t>
  </si>
  <si>
    <t xml:space="preserve">Beta</t>
  </si>
  <si>
    <t xml:space="preserve">9 meses</t>
  </si>
  <si>
    <t xml:space="preserve">AGRO</t>
  </si>
  <si>
    <t xml:space="preserve">Normal</t>
  </si>
  <si>
    <t xml:space="preserve">COME</t>
  </si>
  <si>
    <t xml:space="preserve">ENE</t>
  </si>
  <si>
    <t xml:space="preserve">FIN</t>
  </si>
  <si>
    <t xml:space="preserve">MOA</t>
  </si>
  <si>
    <t xml:space="preserve">MOI</t>
  </si>
  <si>
    <t xml:space="preserve">TOTAL</t>
  </si>
  <si>
    <t xml:space="preserve">6 meses</t>
  </si>
  <si>
    <t xml:space="preserve">3 meses</t>
  </si>
  <si>
    <t xml:space="preserve">19 meses</t>
  </si>
  <si>
    <t xml:space="preserve">12 meses</t>
  </si>
  <si>
    <t xml:space="preserve">Consensus  ùltimo  kolgomoroiv smirnoff</t>
  </si>
  <si>
    <t xml:space="preserve">Periodo</t>
  </si>
  <si>
    <t xml:space="preserve">Antes (19m)</t>
  </si>
  <si>
    <t xml:space="preserve">Antes (12m)</t>
  </si>
  <si>
    <t xml:space="preserve">Antes (9m)</t>
  </si>
  <si>
    <t xml:space="preserve">Antes (7m)</t>
  </si>
  <si>
    <t xml:space="preserve">Antes (5m)</t>
  </si>
  <si>
    <t xml:space="preserve">Después Anuncio</t>
  </si>
  <si>
    <t xml:space="preserve">Antes (6m)</t>
  </si>
  <si>
    <t xml:space="preserve">Antes (3m)</t>
  </si>
  <si>
    <t xml:space="preserve">Hvprom</t>
  </si>
  <si>
    <t xml:space="preserve">IV+1</t>
  </si>
  <si>
    <t xml:space="preserve">Antes del Anuncio</t>
  </si>
  <si>
    <t xml:space="preserve">Después del Anuncio</t>
  </si>
  <si>
    <t xml:space="preserve">Promedio </t>
  </si>
  <si>
    <t xml:space="preserve"> </t>
  </si>
  <si>
    <t xml:space="preserve">Antes del Anuncio (Promedio)</t>
  </si>
  <si>
    <t xml:space="preserve">TOTAL (Mercado)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</si>
</sst>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75" activeCellId="0" sqref="E75"/>
    </sheetView>
  </sheetViews>
  <sheetFormatPr defaultColWidth="8.54296875" defaultRowHeight="13.8" zeroHeight="false" outlineLevelRow="0" outlineLevelCol="0"/>
  <cols>
    <col collapsed="false" customWidth="true" hidden="false" outlineLevel="0" max="4" min="4" style="0" width="22.64"/>
    <col collapsed="false" customWidth="true" hidden="false" outlineLevel="0" max="5" min="5" style="0" width="19.4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3.8" hidden="true" customHeight="false" outlineLevel="0" collapsed="false">
      <c r="A2" s="2" t="s">
        <v>9</v>
      </c>
      <c r="B2" s="2" t="s">
        <v>10</v>
      </c>
      <c r="C2" s="2" t="s">
        <v>11</v>
      </c>
      <c r="D2" s="2" t="n">
        <v>0.000163370873741691</v>
      </c>
      <c r="E2" s="2" t="n">
        <v>0.0222877338602343</v>
      </c>
      <c r="F2" s="2" t="n">
        <v>0.143724854325928</v>
      </c>
      <c r="G2" s="2" t="n">
        <v>0.00104376430602749</v>
      </c>
    </row>
    <row r="3" customFormat="false" ht="13.8" hidden="true" customHeight="false" outlineLevel="0" collapsed="false">
      <c r="A3" s="2" t="s">
        <v>9</v>
      </c>
      <c r="B3" s="2" t="s">
        <v>10</v>
      </c>
      <c r="D3" s="2" t="n">
        <v>6.42154932719577E-005</v>
      </c>
      <c r="E3" s="2" t="n">
        <v>0.0145159138446709</v>
      </c>
      <c r="F3" s="2" t="n">
        <v>0.0590975947849995</v>
      </c>
      <c r="G3" s="2" t="n">
        <v>0.536093602296502</v>
      </c>
      <c r="H3" s="2" t="n">
        <v>1.86370629515752</v>
      </c>
      <c r="I3" s="2" t="n">
        <v>-0.999983995616048</v>
      </c>
    </row>
    <row r="4" customFormat="false" ht="13.8" hidden="true" customHeight="false" outlineLevel="0" collapsed="false">
      <c r="A4" s="2" t="s">
        <v>9</v>
      </c>
      <c r="B4" s="2" t="s">
        <v>12</v>
      </c>
      <c r="C4" s="2" t="s">
        <v>11</v>
      </c>
      <c r="D4" s="2" t="n">
        <v>-0.000612825293191503</v>
      </c>
      <c r="E4" s="2" t="n">
        <v>0.0175657282380493</v>
      </c>
      <c r="F4" s="2" t="n">
        <v>0.0403870481037271</v>
      </c>
      <c r="G4" s="2" t="n">
        <v>0.919124890844107</v>
      </c>
    </row>
    <row r="5" customFormat="false" ht="13.8" hidden="true" customHeight="false" outlineLevel="0" collapsed="false">
      <c r="A5" s="2" t="s">
        <v>9</v>
      </c>
      <c r="B5" s="2" t="s">
        <v>12</v>
      </c>
      <c r="D5" s="2" t="n">
        <v>-0.00056545578915224</v>
      </c>
      <c r="E5" s="2" t="n">
        <v>0.0118099366567544</v>
      </c>
      <c r="F5" s="2" t="n">
        <v>0.0336592504656319</v>
      </c>
      <c r="G5" s="2" t="n">
        <v>0.982767416430015</v>
      </c>
      <c r="H5" s="2" t="n">
        <v>1.90136731655063</v>
      </c>
      <c r="I5" s="2" t="n">
        <v>0.147735301929523</v>
      </c>
    </row>
    <row r="6" customFormat="false" ht="13.8" hidden="true" customHeight="false" outlineLevel="0" collapsed="false">
      <c r="A6" s="2" t="s">
        <v>9</v>
      </c>
      <c r="B6" s="2" t="s">
        <v>13</v>
      </c>
      <c r="C6" s="2" t="s">
        <v>11</v>
      </c>
      <c r="D6" s="2" t="n">
        <v>0.000176037365502849</v>
      </c>
      <c r="E6" s="2" t="n">
        <v>0.0276662823880674</v>
      </c>
      <c r="F6" s="2" t="n">
        <v>0.0411147017987338</v>
      </c>
      <c r="G6" s="2" t="n">
        <v>0.90872527047708</v>
      </c>
    </row>
    <row r="7" customFormat="false" ht="13.8" hidden="true" customHeight="false" outlineLevel="0" collapsed="false">
      <c r="A7" s="2" t="s">
        <v>9</v>
      </c>
      <c r="B7" s="2" t="s">
        <v>13</v>
      </c>
      <c r="D7" s="2" t="n">
        <v>0.0014799314439021</v>
      </c>
      <c r="E7" s="2" t="n">
        <v>0.0195847301169015</v>
      </c>
      <c r="F7" s="2" t="n">
        <v>0.035293258118861</v>
      </c>
      <c r="G7" s="2" t="n">
        <v>0.972637417386075</v>
      </c>
      <c r="H7" s="2" t="n">
        <v>2</v>
      </c>
      <c r="I7" s="2" t="n">
        <v>-1</v>
      </c>
    </row>
    <row r="8" customFormat="false" ht="13.8" hidden="true" customHeight="false" outlineLevel="0" collapsed="false">
      <c r="A8" s="2" t="s">
        <v>9</v>
      </c>
      <c r="B8" s="2" t="s">
        <v>14</v>
      </c>
      <c r="C8" s="2" t="s">
        <v>11</v>
      </c>
      <c r="D8" s="2" t="n">
        <v>-0.000363974412709196</v>
      </c>
      <c r="E8" s="2" t="n">
        <v>0.0308509926731855</v>
      </c>
      <c r="F8" s="2" t="n">
        <v>0.0446902846739357</v>
      </c>
      <c r="G8" s="2" t="n">
        <v>0.848781071852415</v>
      </c>
    </row>
    <row r="9" customFormat="false" ht="13.8" hidden="true" customHeight="false" outlineLevel="0" collapsed="false">
      <c r="A9" s="2" t="s">
        <v>9</v>
      </c>
      <c r="B9" s="2" t="s">
        <v>14</v>
      </c>
      <c r="D9" s="2" t="n">
        <v>0.00184629447987681</v>
      </c>
      <c r="E9" s="2" t="n">
        <v>0.0204008761306057</v>
      </c>
      <c r="F9" s="2" t="n">
        <v>0.036291852155258</v>
      </c>
      <c r="G9" s="2" t="n">
        <v>0.964829746849398</v>
      </c>
      <c r="H9" s="2" t="n">
        <v>1.85355890452069</v>
      </c>
      <c r="I9" s="2" t="n">
        <v>0.138753835087768</v>
      </c>
    </row>
    <row r="10" customFormat="false" ht="13.8" hidden="true" customHeight="false" outlineLevel="0" collapsed="false">
      <c r="A10" s="2" t="s">
        <v>9</v>
      </c>
      <c r="B10" s="2" t="s">
        <v>15</v>
      </c>
      <c r="C10" s="2" t="s">
        <v>11</v>
      </c>
      <c r="D10" s="2" t="n">
        <v>-0.00273666226740147</v>
      </c>
      <c r="E10" s="2" t="n">
        <v>0.0288320409776019</v>
      </c>
      <c r="F10" s="2" t="n">
        <v>0.116179802918276</v>
      </c>
      <c r="G10" s="2" t="n">
        <v>0.0142298834999107</v>
      </c>
    </row>
    <row r="11" customFormat="false" ht="13.8" hidden="true" customHeight="false" outlineLevel="0" collapsed="false">
      <c r="A11" s="2" t="s">
        <v>9</v>
      </c>
      <c r="B11" s="2" t="s">
        <v>15</v>
      </c>
      <c r="D11" s="2" t="n">
        <v>-0.00285007298197194</v>
      </c>
      <c r="E11" s="2" t="n">
        <v>0.0133410439355004</v>
      </c>
      <c r="F11" s="2" t="n">
        <v>0.0340777517711578</v>
      </c>
      <c r="G11" s="2" t="n">
        <v>0.980471803807027</v>
      </c>
      <c r="H11" s="2" t="n">
        <v>1.60700283763713</v>
      </c>
      <c r="I11" s="2" t="n">
        <v>-0.374336819766315</v>
      </c>
    </row>
    <row r="12" customFormat="false" ht="13.8" hidden="true" customHeight="false" outlineLevel="0" collapsed="false">
      <c r="A12" s="2" t="s">
        <v>9</v>
      </c>
      <c r="B12" s="2" t="s">
        <v>16</v>
      </c>
      <c r="C12" s="2" t="s">
        <v>11</v>
      </c>
      <c r="D12" s="2" t="n">
        <v>-0.00298258301927143</v>
      </c>
      <c r="E12" s="2" t="n">
        <v>0.0322570108001407</v>
      </c>
      <c r="F12" s="2" t="n">
        <v>0.143724854325928</v>
      </c>
      <c r="G12" s="2" t="n">
        <v>0.00104376430602749</v>
      </c>
    </row>
    <row r="13" customFormat="false" ht="13.8" hidden="true" customHeight="false" outlineLevel="0" collapsed="false">
      <c r="A13" s="2" t="s">
        <v>9</v>
      </c>
      <c r="B13" s="2" t="s">
        <v>16</v>
      </c>
      <c r="D13" s="2" t="n">
        <v>-0.00210694358445437</v>
      </c>
      <c r="E13" s="2" t="n">
        <v>0.0144646535649498</v>
      </c>
      <c r="F13" s="2" t="n">
        <v>0.0678492982708555</v>
      </c>
      <c r="G13" s="2" t="n">
        <v>0.36240045277988</v>
      </c>
      <c r="H13" s="2" t="n">
        <v>1.87829065827397</v>
      </c>
      <c r="I13" s="2" t="n">
        <v>-0.999980515132486</v>
      </c>
    </row>
    <row r="14" customFormat="false" ht="13.8" hidden="true" customHeight="false" outlineLevel="0" collapsed="false">
      <c r="A14" s="2" t="s">
        <v>9</v>
      </c>
      <c r="B14" s="2" t="s">
        <v>17</v>
      </c>
      <c r="C14" s="2" t="s">
        <v>11</v>
      </c>
      <c r="D14" s="2" t="n">
        <v>-0.00108968955952756</v>
      </c>
      <c r="E14" s="2" t="n">
        <v>0.0219193402369101</v>
      </c>
      <c r="F14" s="2" t="n">
        <v>0.051274956543945</v>
      </c>
      <c r="G14" s="2" t="n">
        <v>0.711419678708769</v>
      </c>
    </row>
    <row r="15" customFormat="false" ht="13.8" hidden="true" customHeight="false" outlineLevel="0" collapsed="false">
      <c r="A15" s="2" t="s">
        <v>9</v>
      </c>
      <c r="B15" s="2" t="s">
        <v>17</v>
      </c>
      <c r="D15" s="2" t="n">
        <v>-0.0014219388176897</v>
      </c>
      <c r="E15" s="2" t="n">
        <v>0.0151088771677001</v>
      </c>
      <c r="F15" s="2" t="n">
        <v>0.0420142189922306</v>
      </c>
      <c r="G15" s="2" t="n">
        <v>0.894978374772587</v>
      </c>
      <c r="H15" s="2" t="n">
        <v>1.93595734161349</v>
      </c>
      <c r="I15" s="2" t="n">
        <v>-0.999958493995226</v>
      </c>
    </row>
    <row r="16" customFormat="false" ht="13.8" hidden="true" customHeight="false" outlineLevel="0" collapsed="false">
      <c r="A16" s="2" t="s">
        <v>18</v>
      </c>
      <c r="B16" s="2" t="s">
        <v>10</v>
      </c>
      <c r="C16" s="2" t="s">
        <v>11</v>
      </c>
      <c r="D16" s="2" t="n">
        <v>-0.00173986504918486</v>
      </c>
      <c r="E16" s="2" t="n">
        <v>0.0237077326592687</v>
      </c>
      <c r="F16" s="2" t="n">
        <v>0.0562022107287583</v>
      </c>
      <c r="G16" s="2" t="n">
        <v>0.829519396405074</v>
      </c>
    </row>
    <row r="17" customFormat="false" ht="13.8" hidden="true" customHeight="false" outlineLevel="0" collapsed="false">
      <c r="A17" s="2" t="s">
        <v>18</v>
      </c>
      <c r="B17" s="2" t="s">
        <v>10</v>
      </c>
      <c r="D17" s="2" t="n">
        <v>-0.00208432278731461</v>
      </c>
      <c r="E17" s="2" t="n">
        <v>0.0159988705428635</v>
      </c>
      <c r="F17" s="2" t="n">
        <v>0.0512974647599523</v>
      </c>
      <c r="G17" s="2" t="n">
        <v>0.899462186484537</v>
      </c>
      <c r="H17" s="2" t="n">
        <v>1.9119491898116</v>
      </c>
      <c r="I17" s="2" t="n">
        <v>-0.999984437879311</v>
      </c>
    </row>
    <row r="18" customFormat="false" ht="13.8" hidden="true" customHeight="false" outlineLevel="0" collapsed="false">
      <c r="A18" s="2" t="s">
        <v>18</v>
      </c>
      <c r="B18" s="2" t="s">
        <v>12</v>
      </c>
      <c r="C18" s="2" t="s">
        <v>11</v>
      </c>
      <c r="D18" s="2" t="n">
        <v>-0.00180017124333929</v>
      </c>
      <c r="E18" s="2" t="n">
        <v>0.0188644999254652</v>
      </c>
      <c r="F18" s="2" t="n">
        <v>0.063456050153187</v>
      </c>
      <c r="G18" s="2" t="n">
        <v>0.704632514490106</v>
      </c>
    </row>
    <row r="19" customFormat="false" ht="13.8" hidden="true" customHeight="false" outlineLevel="0" collapsed="false">
      <c r="A19" s="2" t="s">
        <v>18</v>
      </c>
      <c r="B19" s="2" t="s">
        <v>12</v>
      </c>
      <c r="D19" s="2" t="n">
        <v>-0.00151574930706094</v>
      </c>
      <c r="E19" s="2" t="n">
        <v>0.0124490775983235</v>
      </c>
      <c r="F19" s="2" t="n">
        <v>0.0449462285792381</v>
      </c>
      <c r="G19" s="2" t="n">
        <v>0.962326331845616</v>
      </c>
      <c r="H19" s="2" t="n">
        <v>1.85560814358289</v>
      </c>
      <c r="I19" s="2" t="n">
        <v>0.436156548323265</v>
      </c>
    </row>
    <row r="20" customFormat="false" ht="13.8" hidden="true" customHeight="false" outlineLevel="0" collapsed="false">
      <c r="A20" s="2" t="s">
        <v>18</v>
      </c>
      <c r="B20" s="2" t="s">
        <v>13</v>
      </c>
      <c r="C20" s="2" t="s">
        <v>11</v>
      </c>
      <c r="D20" s="2" t="n">
        <v>-0.00199740908848693</v>
      </c>
      <c r="E20" s="2" t="n">
        <v>0.0300348035139301</v>
      </c>
      <c r="F20" s="2" t="n">
        <v>0.0531378672412331</v>
      </c>
      <c r="G20" s="2" t="n">
        <v>0.875113443967796</v>
      </c>
    </row>
    <row r="21" customFormat="false" ht="13.8" hidden="true" customHeight="false" outlineLevel="0" collapsed="false">
      <c r="A21" s="2" t="s">
        <v>18</v>
      </c>
      <c r="B21" s="2" t="s">
        <v>13</v>
      </c>
      <c r="D21" s="2" t="n">
        <v>-0.00199783027492716</v>
      </c>
      <c r="E21" s="2" t="n">
        <v>0.0212376661680042</v>
      </c>
      <c r="F21" s="2" t="n">
        <v>0.0531424861389307</v>
      </c>
      <c r="G21" s="2" t="n">
        <v>0.875049258273537</v>
      </c>
      <c r="H21" s="2" t="n">
        <v>1.99999711635031</v>
      </c>
      <c r="I21" s="2" t="n">
        <v>0.159413136509206</v>
      </c>
    </row>
    <row r="22" customFormat="false" ht="13.8" hidden="true" customHeight="false" outlineLevel="0" collapsed="false">
      <c r="A22" s="2" t="s">
        <v>18</v>
      </c>
      <c r="B22" s="2" t="s">
        <v>14</v>
      </c>
      <c r="C22" s="2" t="s">
        <v>11</v>
      </c>
      <c r="D22" s="2" t="n">
        <v>-0.00341487061939433</v>
      </c>
      <c r="E22" s="2" t="n">
        <v>0.0314641824726181</v>
      </c>
      <c r="F22" s="2" t="n">
        <v>0.078319715020752</v>
      </c>
      <c r="G22" s="2" t="n">
        <v>0.441784363163986</v>
      </c>
    </row>
    <row r="23" customFormat="false" ht="13.8" hidden="true" customHeight="false" outlineLevel="0" collapsed="false">
      <c r="A23" s="2" t="s">
        <v>18</v>
      </c>
      <c r="B23" s="2" t="s">
        <v>14</v>
      </c>
      <c r="D23" s="2" t="n">
        <v>-0.00255281806388551</v>
      </c>
      <c r="E23" s="2" t="n">
        <v>0.0201573822747187</v>
      </c>
      <c r="F23" s="2" t="n">
        <v>0.0623388948069409</v>
      </c>
      <c r="G23" s="2" t="n">
        <v>0.724832656214983</v>
      </c>
      <c r="H23" s="2" t="n">
        <v>1.81923214175318</v>
      </c>
      <c r="I23" s="2" t="n">
        <v>0.260306729180056</v>
      </c>
    </row>
    <row r="24" customFormat="false" ht="13.8" hidden="true" customHeight="false" outlineLevel="0" collapsed="false">
      <c r="A24" s="2" t="s">
        <v>18</v>
      </c>
      <c r="B24" s="2" t="s">
        <v>15</v>
      </c>
      <c r="C24" s="2" t="s">
        <v>11</v>
      </c>
      <c r="D24" s="2" t="n">
        <v>-0.00313565000678062</v>
      </c>
      <c r="E24" s="2" t="n">
        <v>0.0254069513174426</v>
      </c>
      <c r="F24" s="2" t="n">
        <v>0.0829186544910649</v>
      </c>
      <c r="G24" s="2" t="n">
        <v>0.371352316177025</v>
      </c>
    </row>
    <row r="25" customFormat="false" ht="13.8" hidden="true" customHeight="false" outlineLevel="0" collapsed="false">
      <c r="A25" s="2" t="s">
        <v>18</v>
      </c>
      <c r="B25" s="2" t="s">
        <v>15</v>
      </c>
      <c r="D25" s="2" t="n">
        <v>-0.00403677444340172</v>
      </c>
      <c r="E25" s="2" t="n">
        <v>0.014143994347288</v>
      </c>
      <c r="F25" s="2" t="n">
        <v>0.0413572708180948</v>
      </c>
      <c r="G25" s="2" t="n">
        <v>0.98269551364764</v>
      </c>
      <c r="H25" s="2" t="n">
        <v>1.58464830881132</v>
      </c>
      <c r="I25" s="2" t="n">
        <v>-0.241642418196088</v>
      </c>
    </row>
    <row r="26" customFormat="false" ht="13.8" hidden="true" customHeight="false" outlineLevel="0" collapsed="false">
      <c r="A26" s="2" t="s">
        <v>18</v>
      </c>
      <c r="B26" s="2" t="s">
        <v>16</v>
      </c>
      <c r="C26" s="2" t="s">
        <v>11</v>
      </c>
      <c r="D26" s="2" t="n">
        <v>-0.00245996113363936</v>
      </c>
      <c r="E26" s="2" t="n">
        <v>0.0230587860316347</v>
      </c>
      <c r="F26" s="2" t="n">
        <v>0.0562022107287583</v>
      </c>
      <c r="G26" s="2" t="n">
        <v>0.829519396405074</v>
      </c>
    </row>
    <row r="27" customFormat="false" ht="13.8" hidden="true" customHeight="false" outlineLevel="0" collapsed="false">
      <c r="A27" s="2" t="s">
        <v>18</v>
      </c>
      <c r="B27" s="2" t="s">
        <v>16</v>
      </c>
      <c r="D27" s="2" t="n">
        <v>-0.00274014111634488</v>
      </c>
      <c r="E27" s="2" t="n">
        <v>0.0155622174136578</v>
      </c>
      <c r="F27" s="2" t="n">
        <v>0.0541727949846385</v>
      </c>
      <c r="G27" s="2" t="n">
        <v>0.860370767697603</v>
      </c>
      <c r="H27" s="2" t="n">
        <v>1.92209999534298</v>
      </c>
      <c r="I27" s="2" t="n">
        <v>-0.999970133547254</v>
      </c>
    </row>
    <row r="28" customFormat="false" ht="13.8" hidden="true" customHeight="false" outlineLevel="0" collapsed="false">
      <c r="A28" s="2" t="s">
        <v>18</v>
      </c>
      <c r="B28" s="2" t="s">
        <v>17</v>
      </c>
      <c r="C28" s="2" t="s">
        <v>11</v>
      </c>
      <c r="D28" s="2" t="n">
        <v>-0.00237681488344859</v>
      </c>
      <c r="E28" s="2" t="n">
        <v>0.0233493062360686</v>
      </c>
      <c r="F28" s="2" t="n">
        <v>0.062331966024612</v>
      </c>
      <c r="G28" s="2" t="n">
        <v>0.724957273105928</v>
      </c>
    </row>
    <row r="29" customFormat="false" ht="13.8" hidden="true" customHeight="false" outlineLevel="0" collapsed="false">
      <c r="A29" s="2" t="s">
        <v>18</v>
      </c>
      <c r="B29" s="2" t="s">
        <v>17</v>
      </c>
      <c r="D29" s="2" t="n">
        <v>-0.00237397759548913</v>
      </c>
      <c r="E29" s="2" t="n">
        <v>0.0165106520211407</v>
      </c>
      <c r="F29" s="2" t="n">
        <v>0.0623794902030715</v>
      </c>
      <c r="G29" s="2" t="n">
        <v>0.724102348713909</v>
      </c>
      <c r="H29" s="2" t="n">
        <v>1.99999377843971</v>
      </c>
      <c r="I29" s="2" t="n">
        <v>-0.150724353321467</v>
      </c>
    </row>
    <row r="30" customFormat="false" ht="13.8" hidden="true" customHeight="false" outlineLevel="0" collapsed="false">
      <c r="A30" s="2" t="s">
        <v>19</v>
      </c>
      <c r="B30" s="2" t="s">
        <v>10</v>
      </c>
      <c r="C30" s="2" t="s">
        <v>11</v>
      </c>
      <c r="D30" s="2" t="n">
        <v>0.000232401079596641</v>
      </c>
      <c r="E30" s="2" t="n">
        <v>0.0194649800449155</v>
      </c>
      <c r="F30" s="2" t="n">
        <v>0.076108081551296</v>
      </c>
      <c r="G30" s="2" t="n">
        <v>0.845045917506116</v>
      </c>
    </row>
    <row r="31" customFormat="false" ht="13.8" hidden="true" customHeight="false" outlineLevel="0" collapsed="false">
      <c r="A31" s="2" t="s">
        <v>19</v>
      </c>
      <c r="B31" s="2" t="s">
        <v>10</v>
      </c>
      <c r="D31" s="2" t="n">
        <v>0.00023433785865217</v>
      </c>
      <c r="E31" s="2" t="n">
        <v>0.0137657820923158</v>
      </c>
      <c r="F31" s="2" t="n">
        <v>0.0471422884316572</v>
      </c>
      <c r="G31" s="2" t="n">
        <v>0.998299647305633</v>
      </c>
      <c r="H31" s="2" t="n">
        <v>1.99999816289777</v>
      </c>
      <c r="I31" s="2" t="n">
        <v>0.297928823442467</v>
      </c>
    </row>
    <row r="32" customFormat="false" ht="13.8" hidden="true" customHeight="false" outlineLevel="0" collapsed="false">
      <c r="A32" s="2" t="s">
        <v>19</v>
      </c>
      <c r="B32" s="2" t="s">
        <v>12</v>
      </c>
      <c r="C32" s="2" t="s">
        <v>11</v>
      </c>
      <c r="D32" s="2" t="n">
        <v>0.000683035824435558</v>
      </c>
      <c r="E32" s="2" t="n">
        <v>0.0147213146851551</v>
      </c>
      <c r="F32" s="2" t="n">
        <v>0.0792753541761068</v>
      </c>
      <c r="G32" s="2" t="n">
        <v>0.808910656767043</v>
      </c>
    </row>
    <row r="33" customFormat="false" ht="13.8" hidden="true" customHeight="false" outlineLevel="0" collapsed="false">
      <c r="A33" s="2" t="s">
        <v>19</v>
      </c>
      <c r="B33" s="2" t="s">
        <v>12</v>
      </c>
      <c r="D33" s="2" t="n">
        <v>0.000519576251560189</v>
      </c>
      <c r="E33" s="2" t="n">
        <v>0.0100906988152664</v>
      </c>
      <c r="F33" s="2" t="n">
        <v>0.0689128830597581</v>
      </c>
      <c r="G33" s="2" t="n">
        <v>0.914858860134045</v>
      </c>
      <c r="H33" s="2" t="n">
        <v>1.92198805638873</v>
      </c>
      <c r="I33" s="2" t="n">
        <v>0.999990097091642</v>
      </c>
    </row>
    <row r="34" customFormat="false" ht="13.8" hidden="true" customHeight="false" outlineLevel="0" collapsed="false">
      <c r="A34" s="2" t="s">
        <v>19</v>
      </c>
      <c r="B34" s="2" t="s">
        <v>13</v>
      </c>
      <c r="C34" s="2" t="s">
        <v>11</v>
      </c>
      <c r="D34" s="2" t="n">
        <v>0.00179480735414733</v>
      </c>
      <c r="E34" s="2" t="n">
        <v>0.0243862737257516</v>
      </c>
      <c r="F34" s="2" t="n">
        <v>0.067710425437622</v>
      </c>
      <c r="G34" s="2" t="n">
        <v>0.92452847219878</v>
      </c>
    </row>
    <row r="35" customFormat="false" ht="13.8" hidden="true" customHeight="false" outlineLevel="0" collapsed="false">
      <c r="A35" s="2" t="s">
        <v>19</v>
      </c>
      <c r="B35" s="2" t="s">
        <v>13</v>
      </c>
      <c r="D35" s="2" t="n">
        <v>0.00232335616061096</v>
      </c>
      <c r="E35" s="2" t="n">
        <v>0.0184034494160274</v>
      </c>
      <c r="F35" s="2" t="n">
        <v>0.0636584860967855</v>
      </c>
      <c r="G35" s="2" t="n">
        <v>0.952396917426454</v>
      </c>
      <c r="H35" s="2" t="n">
        <v>2</v>
      </c>
      <c r="I35" s="2" t="n">
        <v>-1</v>
      </c>
    </row>
    <row r="36" customFormat="false" ht="13.8" hidden="true" customHeight="false" outlineLevel="0" collapsed="false">
      <c r="A36" s="2" t="s">
        <v>19</v>
      </c>
      <c r="B36" s="2" t="s">
        <v>14</v>
      </c>
      <c r="C36" s="2" t="s">
        <v>11</v>
      </c>
      <c r="D36" s="2" t="n">
        <v>-0.00292779658088959</v>
      </c>
      <c r="E36" s="2" t="n">
        <v>0.0275216088528602</v>
      </c>
      <c r="F36" s="2" t="n">
        <v>0.0677019556161621</v>
      </c>
      <c r="G36" s="2" t="n">
        <v>0.924594361553132</v>
      </c>
    </row>
    <row r="37" customFormat="false" ht="13.8" hidden="true" customHeight="false" outlineLevel="0" collapsed="false">
      <c r="A37" s="2" t="s">
        <v>19</v>
      </c>
      <c r="B37" s="2" t="s">
        <v>14</v>
      </c>
      <c r="D37" s="2" t="n">
        <v>-0.00292884363453957</v>
      </c>
      <c r="E37" s="2" t="n">
        <v>0.0172633917081589</v>
      </c>
      <c r="F37" s="2" t="n">
        <v>0.0593502803464624</v>
      </c>
      <c r="G37" s="2" t="n">
        <v>0.973943516349093</v>
      </c>
      <c r="H37" s="2" t="n">
        <v>1.90761712511298</v>
      </c>
      <c r="I37" s="2" t="n">
        <v>-0.999972784527182</v>
      </c>
    </row>
    <row r="38" customFormat="false" ht="13.8" hidden="true" customHeight="false" outlineLevel="0" collapsed="false">
      <c r="A38" s="2" t="s">
        <v>19</v>
      </c>
      <c r="B38" s="2" t="s">
        <v>15</v>
      </c>
      <c r="C38" s="2" t="s">
        <v>11</v>
      </c>
      <c r="D38" s="2" t="n">
        <v>0.00062642483921875</v>
      </c>
      <c r="E38" s="2" t="n">
        <v>0.0199031749723039</v>
      </c>
      <c r="F38" s="2" t="n">
        <v>0.0925641235917215</v>
      </c>
      <c r="G38" s="2" t="n">
        <v>0.63881807861339</v>
      </c>
    </row>
    <row r="39" customFormat="false" ht="13.8" hidden="true" customHeight="false" outlineLevel="0" collapsed="false">
      <c r="A39" s="2" t="s">
        <v>19</v>
      </c>
      <c r="B39" s="2" t="s">
        <v>15</v>
      </c>
      <c r="D39" s="2" t="n">
        <v>0.00130700497606276</v>
      </c>
      <c r="E39" s="2" t="n">
        <v>0.0105353478084765</v>
      </c>
      <c r="F39" s="2" t="n">
        <v>0.0477398992645934</v>
      </c>
      <c r="G39" s="2" t="n">
        <v>0.997954901755685</v>
      </c>
      <c r="H39" s="2" t="n">
        <v>1.6239728737094</v>
      </c>
      <c r="I39" s="2" t="n">
        <v>0.58092745278139</v>
      </c>
    </row>
    <row r="40" customFormat="false" ht="13.8" hidden="true" customHeight="false" outlineLevel="0" collapsed="false">
      <c r="A40" s="2" t="s">
        <v>19</v>
      </c>
      <c r="B40" s="2" t="s">
        <v>16</v>
      </c>
      <c r="C40" s="2" t="s">
        <v>11</v>
      </c>
      <c r="D40" s="2" t="n">
        <v>5.03021937260299E-005</v>
      </c>
      <c r="E40" s="2" t="n">
        <v>0.017376494372828</v>
      </c>
      <c r="F40" s="2" t="n">
        <v>0.076108081551296</v>
      </c>
      <c r="G40" s="2" t="n">
        <v>0.845045917506116</v>
      </c>
    </row>
    <row r="41" customFormat="false" ht="13.8" hidden="true" customHeight="false" outlineLevel="0" collapsed="false">
      <c r="A41" s="2" t="s">
        <v>19</v>
      </c>
      <c r="B41" s="2" t="s">
        <v>16</v>
      </c>
      <c r="D41" s="2" t="n">
        <v>0.000449681697388743</v>
      </c>
      <c r="E41" s="2" t="n">
        <v>0.0122840273327716</v>
      </c>
      <c r="F41" s="2" t="n">
        <v>0.0841706475495956</v>
      </c>
      <c r="G41" s="2" t="n">
        <v>0.748594114624592</v>
      </c>
      <c r="H41" s="2" t="n">
        <v>1.99999406221943</v>
      </c>
      <c r="I41" s="2" t="n">
        <v>-0.17205845452505</v>
      </c>
    </row>
    <row r="42" customFormat="false" ht="13.8" hidden="true" customHeight="false" outlineLevel="0" collapsed="false">
      <c r="A42" s="2" t="s">
        <v>19</v>
      </c>
      <c r="B42" s="2" t="s">
        <v>17</v>
      </c>
      <c r="C42" s="2" t="s">
        <v>11</v>
      </c>
      <c r="D42" s="2" t="n">
        <v>0.000367418427524887</v>
      </c>
      <c r="E42" s="2" t="n">
        <v>0.0175327942875668</v>
      </c>
      <c r="F42" s="2" t="n">
        <v>0.0864987855425674</v>
      </c>
      <c r="G42" s="2" t="n">
        <v>0.71861778335103</v>
      </c>
    </row>
    <row r="43" customFormat="false" ht="13.8" hidden="true" customHeight="false" outlineLevel="0" collapsed="false">
      <c r="A43" s="2" t="s">
        <v>19</v>
      </c>
      <c r="B43" s="2" t="s">
        <v>17</v>
      </c>
      <c r="D43" s="2" t="n">
        <v>0.00116089130791259</v>
      </c>
      <c r="E43" s="2" t="n">
        <v>0.0125105078982861</v>
      </c>
      <c r="F43" s="2" t="n">
        <v>0.101850569277262</v>
      </c>
      <c r="G43" s="2" t="n">
        <v>0.518577670703919</v>
      </c>
      <c r="H43" s="2" t="n">
        <v>2</v>
      </c>
      <c r="I43" s="2" t="n">
        <v>-1</v>
      </c>
    </row>
    <row r="44" customFormat="false" ht="13.8" hidden="true" customHeight="false" outlineLevel="0" collapsed="false">
      <c r="A44" s="2" t="s">
        <v>20</v>
      </c>
      <c r="B44" s="2" t="s">
        <v>10</v>
      </c>
      <c r="C44" s="2" t="s">
        <v>11</v>
      </c>
      <c r="D44" s="2" t="n">
        <v>-2.95075258163897E-005</v>
      </c>
      <c r="E44" s="2" t="n">
        <v>0.0224695427439112</v>
      </c>
      <c r="F44" s="2" t="n">
        <v>0.100444742339949</v>
      </c>
      <c r="G44" s="2" t="n">
        <v>0.000587997250029392</v>
      </c>
    </row>
    <row r="45" customFormat="false" ht="13.8" hidden="true" customHeight="false" outlineLevel="0" collapsed="false">
      <c r="A45" s="2" t="s">
        <v>20</v>
      </c>
      <c r="B45" s="2" t="s">
        <v>10</v>
      </c>
      <c r="D45" s="2" t="n">
        <v>-0.000151144527948541</v>
      </c>
      <c r="E45" s="2" t="n">
        <v>0.0140007504196432</v>
      </c>
      <c r="F45" s="2" t="n">
        <v>0.0362500479963097</v>
      </c>
      <c r="G45" s="2" t="n">
        <v>0.657097170993426</v>
      </c>
      <c r="H45" s="2" t="n">
        <v>1.78627525737315</v>
      </c>
      <c r="I45" s="2" t="n">
        <v>-0.298932941158526</v>
      </c>
    </row>
    <row r="46" customFormat="false" ht="13.8" hidden="true" customHeight="false" outlineLevel="0" collapsed="false">
      <c r="A46" s="2" t="s">
        <v>20</v>
      </c>
      <c r="B46" s="2" t="s">
        <v>12</v>
      </c>
      <c r="C46" s="2" t="s">
        <v>11</v>
      </c>
      <c r="D46" s="2" t="n">
        <v>0.000671543586416265</v>
      </c>
      <c r="E46" s="2" t="n">
        <v>0.0210409079801923</v>
      </c>
      <c r="F46" s="2" t="n">
        <v>0.0477825968644051</v>
      </c>
      <c r="G46" s="2" t="n">
        <v>0.312103917237801</v>
      </c>
    </row>
    <row r="47" customFormat="false" ht="13.8" hidden="true" customHeight="false" outlineLevel="0" collapsed="false">
      <c r="A47" s="2" t="s">
        <v>20</v>
      </c>
      <c r="B47" s="2" t="s">
        <v>12</v>
      </c>
      <c r="D47" s="2" t="n">
        <v>0.000804217199463889</v>
      </c>
      <c r="E47" s="2" t="n">
        <v>0.0132631988255765</v>
      </c>
      <c r="F47" s="2" t="n">
        <v>0.0272516664358194</v>
      </c>
      <c r="G47" s="2" t="n">
        <v>0.920382192558499</v>
      </c>
      <c r="H47" s="2" t="n">
        <v>1.82</v>
      </c>
      <c r="I47" s="2" t="n">
        <v>0.212812646626988</v>
      </c>
    </row>
    <row r="48" customFormat="false" ht="13.8" hidden="true" customHeight="false" outlineLevel="0" collapsed="false">
      <c r="A48" s="2" t="s">
        <v>20</v>
      </c>
      <c r="B48" s="2" t="s">
        <v>13</v>
      </c>
      <c r="C48" s="2" t="s">
        <v>11</v>
      </c>
      <c r="D48" s="2" t="n">
        <v>0.00106853365779782</v>
      </c>
      <c r="E48" s="2" t="n">
        <v>0.0267887807474974</v>
      </c>
      <c r="F48" s="2" t="n">
        <v>0.0450184892626316</v>
      </c>
      <c r="G48" s="2" t="n">
        <v>0.382474064632232</v>
      </c>
    </row>
    <row r="49" customFormat="false" ht="13.8" hidden="true" customHeight="false" outlineLevel="0" collapsed="false">
      <c r="A49" s="2" t="s">
        <v>20</v>
      </c>
      <c r="B49" s="2" t="s">
        <v>13</v>
      </c>
      <c r="D49" s="2" t="n">
        <v>0.000829911798299213</v>
      </c>
      <c r="E49" s="2" t="n">
        <v>0.0179678935694354</v>
      </c>
      <c r="F49" s="2" t="n">
        <v>0.0282679238284181</v>
      </c>
      <c r="G49" s="2" t="n">
        <v>0.898219148142863</v>
      </c>
      <c r="H49" s="2" t="n">
        <v>1.91852831254766</v>
      </c>
      <c r="I49" s="2" t="n">
        <v>-0.806465919826353</v>
      </c>
    </row>
    <row r="50" customFormat="false" ht="13.8" hidden="true" customHeight="false" outlineLevel="0" collapsed="false">
      <c r="A50" s="2" t="s">
        <v>20</v>
      </c>
      <c r="B50" s="2" t="s">
        <v>14</v>
      </c>
      <c r="C50" s="2" t="s">
        <v>11</v>
      </c>
      <c r="D50" s="2" t="n">
        <v>0.000870902138714046</v>
      </c>
      <c r="E50" s="2" t="n">
        <v>0.0384121514657613</v>
      </c>
      <c r="F50" s="2" t="n">
        <v>0.103803440895092</v>
      </c>
      <c r="G50" s="2" t="n">
        <v>0.000338585313287854</v>
      </c>
    </row>
    <row r="51" customFormat="false" ht="13.8" hidden="true" customHeight="false" outlineLevel="0" collapsed="false">
      <c r="A51" s="2" t="s">
        <v>20</v>
      </c>
      <c r="B51" s="2" t="s">
        <v>14</v>
      </c>
      <c r="D51" s="2" t="n">
        <v>0.00184629447987681</v>
      </c>
      <c r="E51" s="2" t="n">
        <v>0.0204008761306057</v>
      </c>
      <c r="F51" s="2" t="n">
        <v>0.0341236288817283</v>
      </c>
      <c r="G51" s="2" t="n">
        <v>0.728224819240518</v>
      </c>
      <c r="H51" s="2" t="n">
        <v>1.88423931603423</v>
      </c>
      <c r="I51" s="2" t="n">
        <v>-0.342317767326498</v>
      </c>
    </row>
    <row r="52" customFormat="false" ht="13.8" hidden="true" customHeight="false" outlineLevel="0" collapsed="false">
      <c r="A52" s="2" t="s">
        <v>20</v>
      </c>
      <c r="B52" s="2" t="s">
        <v>15</v>
      </c>
      <c r="C52" s="2" t="s">
        <v>11</v>
      </c>
      <c r="D52" s="2" t="n">
        <v>-0.000636556363399391</v>
      </c>
      <c r="E52" s="2" t="n">
        <v>0.0272184498714738</v>
      </c>
      <c r="F52" s="2" t="n">
        <v>0.083123485206181</v>
      </c>
      <c r="G52" s="2" t="n">
        <v>0.00758501887826366</v>
      </c>
    </row>
    <row r="53" customFormat="false" ht="13.8" hidden="true" customHeight="false" outlineLevel="0" collapsed="false">
      <c r="A53" s="2" t="s">
        <v>20</v>
      </c>
      <c r="B53" s="2" t="s">
        <v>15</v>
      </c>
      <c r="D53" s="2" t="n">
        <v>-0.00107078719681752</v>
      </c>
      <c r="E53" s="2" t="n">
        <v>0.0143400995857171</v>
      </c>
      <c r="F53" s="2" t="n">
        <v>0.0353272755724191</v>
      </c>
      <c r="G53" s="2" t="n">
        <v>0.688148269447223</v>
      </c>
      <c r="H53" s="2" t="n">
        <v>1.65433383523342</v>
      </c>
      <c r="I53" s="2" t="n">
        <v>-0.30571951510574</v>
      </c>
    </row>
    <row r="54" customFormat="false" ht="13.8" hidden="true" customHeight="false" outlineLevel="0" collapsed="false">
      <c r="A54" s="2" t="s">
        <v>20</v>
      </c>
      <c r="B54" s="2" t="s">
        <v>16</v>
      </c>
      <c r="C54" s="2" t="s">
        <v>11</v>
      </c>
      <c r="D54" s="2" t="n">
        <v>-0.00104315231672798</v>
      </c>
      <c r="E54" s="2" t="n">
        <v>0.0273909008838298</v>
      </c>
      <c r="F54" s="2" t="n">
        <v>0.100444742339949</v>
      </c>
      <c r="G54" s="2" t="n">
        <v>0.000587997250029392</v>
      </c>
    </row>
    <row r="55" customFormat="false" ht="13.8" hidden="true" customHeight="false" outlineLevel="0" collapsed="false">
      <c r="A55" s="2" t="s">
        <v>20</v>
      </c>
      <c r="B55" s="2" t="s">
        <v>16</v>
      </c>
      <c r="D55" s="2" t="n">
        <v>-0.000125535720186333</v>
      </c>
      <c r="E55" s="2" t="n">
        <v>0.0144646535649498</v>
      </c>
      <c r="F55" s="2" t="n">
        <v>0.0442578481538793</v>
      </c>
      <c r="G55" s="2" t="n">
        <v>0.403468558189889</v>
      </c>
      <c r="H55" s="2" t="n">
        <v>1.88433357477775</v>
      </c>
      <c r="I55" s="2" t="n">
        <v>-0.999981884863669</v>
      </c>
    </row>
    <row r="56" customFormat="false" ht="13.8" hidden="true" customHeight="false" outlineLevel="0" collapsed="false">
      <c r="A56" s="2" t="s">
        <v>20</v>
      </c>
      <c r="B56" s="2" t="s">
        <v>17</v>
      </c>
      <c r="C56" s="2" t="s">
        <v>11</v>
      </c>
      <c r="D56" s="2" t="n">
        <v>0.000248024137806659</v>
      </c>
      <c r="E56" s="2" t="n">
        <v>0.0224226908530721</v>
      </c>
      <c r="F56" s="2" t="n">
        <v>0.049416645117937</v>
      </c>
      <c r="G56" s="2" t="n">
        <v>0.274968788172407</v>
      </c>
    </row>
    <row r="57" customFormat="false" ht="13.8" hidden="true" customHeight="false" outlineLevel="0" collapsed="false">
      <c r="A57" s="2" t="s">
        <v>20</v>
      </c>
      <c r="B57" s="2" t="s">
        <v>17</v>
      </c>
      <c r="D57" s="2" t="n">
        <v>-0.000213172374830147</v>
      </c>
      <c r="E57" s="2" t="n">
        <v>0.0145599106167359</v>
      </c>
      <c r="F57" s="2" t="n">
        <v>0.0263554235685043</v>
      </c>
      <c r="G57" s="2" t="n">
        <v>0.937532060756054</v>
      </c>
      <c r="H57" s="2" t="n">
        <v>1.85539194491889</v>
      </c>
      <c r="I57" s="2" t="n">
        <v>-0.67545218819793</v>
      </c>
    </row>
    <row r="58" customFormat="false" ht="13.8" hidden="false" customHeight="false" outlineLevel="0" collapsed="false">
      <c r="A58" s="2" t="s">
        <v>21</v>
      </c>
      <c r="B58" s="2" t="s">
        <v>10</v>
      </c>
      <c r="C58" s="2" t="s">
        <v>11</v>
      </c>
      <c r="D58" s="2" t="n">
        <v>-0.000315908180613612</v>
      </c>
      <c r="E58" s="2" t="n">
        <v>0.0201163755674034</v>
      </c>
      <c r="F58" s="2" t="n">
        <v>0.0584329554546128</v>
      </c>
      <c r="G58" s="2" t="n">
        <v>0.358988198384626</v>
      </c>
    </row>
    <row r="59" customFormat="false" ht="13.8" hidden="true" customHeight="false" outlineLevel="0" collapsed="false">
      <c r="A59" s="2" t="s">
        <v>21</v>
      </c>
      <c r="B59" s="2" t="s">
        <v>10</v>
      </c>
      <c r="D59" s="2" t="n">
        <v>-0.000443114168430347</v>
      </c>
      <c r="E59" s="2" t="n">
        <v>0.0122546289034157</v>
      </c>
      <c r="F59" s="2" t="n">
        <v>0.0364820521793761</v>
      </c>
      <c r="G59" s="2" t="n">
        <v>0.888108396954748</v>
      </c>
      <c r="H59" s="2" t="n">
        <v>1.73531850249765</v>
      </c>
      <c r="I59" s="2" t="n">
        <v>-0.294055952221401</v>
      </c>
    </row>
    <row r="60" customFormat="false" ht="13.8" hidden="false" customHeight="false" outlineLevel="0" collapsed="false">
      <c r="A60" s="2" t="s">
        <v>21</v>
      </c>
      <c r="B60" s="2" t="s">
        <v>12</v>
      </c>
      <c r="C60" s="2" t="s">
        <v>11</v>
      </c>
      <c r="D60" s="2" t="n">
        <v>-0.000236225500138865</v>
      </c>
      <c r="E60" s="2" t="n">
        <v>0.016583727196545</v>
      </c>
      <c r="F60" s="2" t="n">
        <v>0.0392028556244956</v>
      </c>
      <c r="G60" s="2" t="n">
        <v>0.831195196189712</v>
      </c>
    </row>
    <row r="61" customFormat="false" ht="13.8" hidden="true" customHeight="false" outlineLevel="0" collapsed="false">
      <c r="A61" s="2" t="s">
        <v>21</v>
      </c>
      <c r="B61" s="2" t="s">
        <v>12</v>
      </c>
      <c r="D61" s="2" t="n">
        <v>-0.000199636951211982</v>
      </c>
      <c r="E61" s="2" t="n">
        <v>0.0111133137065937</v>
      </c>
      <c r="F61" s="2" t="n">
        <v>0.0311024400406407</v>
      </c>
      <c r="G61" s="2" t="n">
        <v>0.965866416244613</v>
      </c>
      <c r="H61" s="2" t="n">
        <v>1.89986179441832</v>
      </c>
      <c r="I61" s="2" t="n">
        <v>0.0978543418988842</v>
      </c>
    </row>
    <row r="62" customFormat="false" ht="13.8" hidden="false" customHeight="false" outlineLevel="0" collapsed="false">
      <c r="A62" s="2" t="s">
        <v>21</v>
      </c>
      <c r="B62" s="2" t="s">
        <v>13</v>
      </c>
      <c r="C62" s="2" t="s">
        <v>11</v>
      </c>
      <c r="D62" s="2" t="n">
        <v>0.000694307284885175</v>
      </c>
      <c r="E62" s="2" t="n">
        <v>0.0249051967673214</v>
      </c>
      <c r="F62" s="2" t="n">
        <v>0.0454255197746472</v>
      </c>
      <c r="G62" s="2" t="n">
        <v>0.67546270824922</v>
      </c>
    </row>
    <row r="63" customFormat="false" ht="13.8" hidden="true" customHeight="false" outlineLevel="0" collapsed="false">
      <c r="A63" s="2" t="s">
        <v>21</v>
      </c>
      <c r="B63" s="2" t="s">
        <v>13</v>
      </c>
      <c r="D63" s="2" t="n">
        <v>-7.33225289729196E-005</v>
      </c>
      <c r="E63" s="2" t="n">
        <v>0.0172285656596831</v>
      </c>
      <c r="F63" s="2" t="n">
        <v>0.0427121802768729</v>
      </c>
      <c r="G63" s="2" t="n">
        <v>0.746104451000285</v>
      </c>
      <c r="H63" s="2" t="n">
        <v>1.94589763987327</v>
      </c>
      <c r="I63" s="2" t="n">
        <v>-0.999961300629886</v>
      </c>
    </row>
    <row r="64" customFormat="false" ht="13.8" hidden="false" customHeight="false" outlineLevel="0" collapsed="false">
      <c r="A64" s="2" t="s">
        <v>21</v>
      </c>
      <c r="B64" s="2" t="s">
        <v>14</v>
      </c>
      <c r="C64" s="2" t="s">
        <v>11</v>
      </c>
      <c r="D64" s="2" t="n">
        <v>0.000252434597628095</v>
      </c>
      <c r="E64" s="2" t="n">
        <v>0.0286577901413832</v>
      </c>
      <c r="F64" s="2" t="n">
        <v>0.0497281800770903</v>
      </c>
      <c r="G64" s="2" t="n">
        <v>0.562544483120022</v>
      </c>
    </row>
    <row r="65" customFormat="false" ht="13.8" hidden="true" customHeight="false" outlineLevel="0" collapsed="false">
      <c r="A65" s="2" t="s">
        <v>21</v>
      </c>
      <c r="B65" s="2" t="s">
        <v>14</v>
      </c>
      <c r="D65" s="2" t="n">
        <v>0.000554576391975751</v>
      </c>
      <c r="E65" s="2" t="n">
        <v>0.0185489884798761</v>
      </c>
      <c r="F65" s="2" t="n">
        <v>0.0337983471683575</v>
      </c>
      <c r="G65" s="2" t="n">
        <v>0.933257924091966</v>
      </c>
      <c r="H65" s="2" t="n">
        <v>1.85784060253921</v>
      </c>
      <c r="I65" s="2" t="n">
        <v>0.154294746140458</v>
      </c>
    </row>
    <row r="66" customFormat="false" ht="13.8" hidden="false" customHeight="false" outlineLevel="0" collapsed="false">
      <c r="A66" s="2" t="s">
        <v>21</v>
      </c>
      <c r="B66" s="2" t="s">
        <v>15</v>
      </c>
      <c r="C66" s="2" t="s">
        <v>11</v>
      </c>
      <c r="D66" s="2" t="n">
        <v>-0.00241720122757576</v>
      </c>
      <c r="E66" s="2" t="n">
        <v>0.0258253608055778</v>
      </c>
      <c r="F66" s="2" t="n">
        <v>0.114944758920342</v>
      </c>
      <c r="G66" s="2" t="n">
        <v>0.00281999701573878</v>
      </c>
    </row>
    <row r="67" customFormat="false" ht="13.8" hidden="true" customHeight="false" outlineLevel="0" collapsed="false">
      <c r="A67" s="2" t="s">
        <v>21</v>
      </c>
      <c r="B67" s="2" t="s">
        <v>15</v>
      </c>
      <c r="D67" s="2" t="n">
        <v>-0.00229919358318932</v>
      </c>
      <c r="E67" s="2" t="n">
        <v>0.0121744543741331</v>
      </c>
      <c r="F67" s="2" t="n">
        <v>0.0308552967887692</v>
      </c>
      <c r="G67" s="2" t="n">
        <v>0.968204809601971</v>
      </c>
      <c r="H67" s="2" t="n">
        <v>1.63312054609096</v>
      </c>
      <c r="I67" s="2" t="n">
        <v>-0.296684848722141</v>
      </c>
    </row>
    <row r="68" customFormat="false" ht="13.8" hidden="false" customHeight="false" outlineLevel="0" collapsed="false">
      <c r="A68" s="2" t="s">
        <v>21</v>
      </c>
      <c r="B68" s="2" t="s">
        <v>16</v>
      </c>
      <c r="C68" s="2" t="s">
        <v>11</v>
      </c>
      <c r="D68" s="2" t="n">
        <v>-0.00236836485067163</v>
      </c>
      <c r="E68" s="2" t="n">
        <v>0.0291021139039796</v>
      </c>
      <c r="F68" s="2" t="n">
        <v>0.141465032118983</v>
      </c>
      <c r="G68" s="2" t="n">
        <v>9.68009401203402E-005</v>
      </c>
    </row>
    <row r="69" customFormat="false" ht="13.8" hidden="true" customHeight="false" outlineLevel="0" collapsed="false">
      <c r="A69" s="2" t="s">
        <v>21</v>
      </c>
      <c r="B69" s="2" t="s">
        <v>16</v>
      </c>
      <c r="D69" s="2" t="n">
        <v>-0.00149593819597381</v>
      </c>
      <c r="E69" s="2" t="n">
        <v>0.0134772330051813</v>
      </c>
      <c r="F69" s="2" t="n">
        <v>0.0394053426119334</v>
      </c>
      <c r="G69" s="2" t="n">
        <v>0.826589274334538</v>
      </c>
      <c r="H69" s="2" t="n">
        <v>1.84153122145633</v>
      </c>
      <c r="I69" s="2" t="n">
        <v>-0.658029347828349</v>
      </c>
    </row>
    <row r="70" customFormat="false" ht="13.8" hidden="false" customHeight="false" outlineLevel="0" collapsed="false">
      <c r="A70" s="2" t="s">
        <v>21</v>
      </c>
      <c r="B70" s="2" t="s">
        <v>17</v>
      </c>
      <c r="C70" s="2" t="s">
        <v>11</v>
      </c>
      <c r="D70" s="2" t="n">
        <v>-0.000665940773247998</v>
      </c>
      <c r="E70" s="2" t="n">
        <v>0.0199902460495915</v>
      </c>
      <c r="F70" s="2" t="n">
        <v>0.0490684168598099</v>
      </c>
      <c r="G70" s="2" t="n">
        <v>0.579621302765288</v>
      </c>
    </row>
    <row r="71" customFormat="false" ht="13.8" hidden="true" customHeight="false" outlineLevel="0" collapsed="false">
      <c r="A71" s="2" t="s">
        <v>21</v>
      </c>
      <c r="B71" s="2" t="s">
        <v>17</v>
      </c>
      <c r="D71" s="2" t="n">
        <v>-0.00100441737876324</v>
      </c>
      <c r="E71" s="2" t="n">
        <v>0.0134499677593593</v>
      </c>
      <c r="F71" s="2" t="n">
        <v>0.0321567471887945</v>
      </c>
      <c r="G71" s="2" t="n">
        <v>0.954673990955621</v>
      </c>
      <c r="H71" s="2" t="n">
        <v>1.89564178737078</v>
      </c>
      <c r="I71" s="2" t="n">
        <v>-0.786802866556339</v>
      </c>
    </row>
  </sheetData>
  <autoFilter ref="A1:I71">
    <filterColumn colId="2">
      <customFilters and="true">
        <customFilter operator="equal" val="Normal"/>
      </customFilters>
    </filterColumn>
    <filterColumn colId="0">
      <customFilters and="true">
        <customFilter operator="equal" val="12 meses"/>
      </customFilters>
    </filterColumn>
  </autoFilter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F16" activeCellId="0" sqref="F16"/>
    </sheetView>
  </sheetViews>
  <sheetFormatPr defaultColWidth="9.15234375" defaultRowHeight="13.8" zeroHeight="false" outlineLevelRow="0" outlineLevelCol="0"/>
  <cols>
    <col collapsed="false" customWidth="true" hidden="false" outlineLevel="0" max="64" min="1" style="0" width="8.5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11</v>
      </c>
    </row>
    <row r="2" customFormat="false" ht="13.8" hidden="false" customHeight="false" outlineLevel="0" collapsed="false">
      <c r="A2" s="1" t="s">
        <v>21</v>
      </c>
      <c r="B2" s="1" t="s">
        <v>10</v>
      </c>
      <c r="C2" s="2" t="n">
        <v>0.358988198384626</v>
      </c>
      <c r="F2" s="2" t="s">
        <v>22</v>
      </c>
    </row>
    <row r="3" customFormat="false" ht="13.8" hidden="false" customHeight="false" outlineLevel="0" collapsed="false">
      <c r="A3" s="1"/>
      <c r="B3" s="1" t="s">
        <v>12</v>
      </c>
      <c r="C3" s="2" t="n">
        <v>0.831195196189712</v>
      </c>
    </row>
    <row r="4" customFormat="false" ht="13.8" hidden="false" customHeight="false" outlineLevel="0" collapsed="false">
      <c r="A4" s="1"/>
      <c r="B4" s="1" t="s">
        <v>13</v>
      </c>
      <c r="C4" s="2" t="n">
        <v>0.67546270824922</v>
      </c>
    </row>
    <row r="5" customFormat="false" ht="13.8" hidden="false" customHeight="false" outlineLevel="0" collapsed="false">
      <c r="A5" s="1"/>
      <c r="B5" s="1" t="s">
        <v>14</v>
      </c>
      <c r="C5" s="2" t="n">
        <v>0.562544483120022</v>
      </c>
    </row>
    <row r="6" customFormat="false" ht="13.8" hidden="false" customHeight="false" outlineLevel="0" collapsed="false">
      <c r="A6" s="1"/>
      <c r="B6" s="1" t="s">
        <v>15</v>
      </c>
      <c r="C6" s="2" t="n">
        <v>0.00281999701573878</v>
      </c>
    </row>
    <row r="7" customFormat="false" ht="13.8" hidden="false" customHeight="false" outlineLevel="0" collapsed="false">
      <c r="A7" s="1"/>
      <c r="B7" s="1" t="s">
        <v>16</v>
      </c>
      <c r="C7" s="2" t="n">
        <v>9.68009401203402E-005</v>
      </c>
    </row>
    <row r="8" customFormat="false" ht="13.8" hidden="false" customHeight="false" outlineLevel="0" collapsed="false">
      <c r="A8" s="1"/>
      <c r="B8" s="1" t="s">
        <v>17</v>
      </c>
      <c r="C8" s="2" t="n">
        <v>0.579621302765288</v>
      </c>
    </row>
    <row r="9" customFormat="false" ht="13.8" hidden="false" customHeight="false" outlineLevel="0" collapsed="false">
      <c r="A9" s="1" t="s">
        <v>20</v>
      </c>
      <c r="B9" s="1" t="s">
        <v>10</v>
      </c>
      <c r="C9" s="2" t="n">
        <v>0.000587997250029392</v>
      </c>
    </row>
    <row r="10" customFormat="false" ht="13.8" hidden="false" customHeight="false" outlineLevel="0" collapsed="false">
      <c r="A10" s="1"/>
      <c r="B10" s="1" t="s">
        <v>12</v>
      </c>
      <c r="C10" s="2" t="n">
        <v>0.312103917237801</v>
      </c>
    </row>
    <row r="11" customFormat="false" ht="13.8" hidden="false" customHeight="false" outlineLevel="0" collapsed="false">
      <c r="A11" s="1"/>
      <c r="B11" s="1" t="s">
        <v>13</v>
      </c>
      <c r="C11" s="2" t="n">
        <v>0.382474064632232</v>
      </c>
    </row>
    <row r="12" customFormat="false" ht="13.8" hidden="false" customHeight="false" outlineLevel="0" collapsed="false">
      <c r="A12" s="1"/>
      <c r="B12" s="1" t="s">
        <v>14</v>
      </c>
      <c r="C12" s="2" t="n">
        <v>0.000338585313287854</v>
      </c>
    </row>
    <row r="13" customFormat="false" ht="13.8" hidden="false" customHeight="false" outlineLevel="0" collapsed="false">
      <c r="A13" s="1"/>
      <c r="B13" s="1" t="s">
        <v>15</v>
      </c>
      <c r="C13" s="2" t="n">
        <v>0.00758501887826366</v>
      </c>
    </row>
    <row r="14" customFormat="false" ht="13.8" hidden="false" customHeight="false" outlineLevel="0" collapsed="false">
      <c r="A14" s="1"/>
      <c r="B14" s="1" t="s">
        <v>16</v>
      </c>
      <c r="C14" s="2" t="n">
        <v>0.000587997250029392</v>
      </c>
    </row>
    <row r="15" customFormat="false" ht="13.8" hidden="false" customHeight="false" outlineLevel="0" collapsed="false">
      <c r="A15" s="1"/>
      <c r="B15" s="1" t="s">
        <v>17</v>
      </c>
      <c r="C15" s="2" t="n">
        <v>0.274968788172407</v>
      </c>
    </row>
    <row r="16" customFormat="false" ht="13.8" hidden="false" customHeight="false" outlineLevel="0" collapsed="false">
      <c r="A16" s="1" t="s">
        <v>19</v>
      </c>
      <c r="B16" s="1" t="s">
        <v>10</v>
      </c>
      <c r="C16" s="2" t="n">
        <v>0.845045917506116</v>
      </c>
    </row>
    <row r="17" customFormat="false" ht="13.8" hidden="false" customHeight="false" outlineLevel="0" collapsed="false">
      <c r="A17" s="1"/>
      <c r="B17" s="1" t="s">
        <v>12</v>
      </c>
      <c r="C17" s="2" t="n">
        <v>0.808910656767043</v>
      </c>
    </row>
    <row r="18" customFormat="false" ht="13.8" hidden="false" customHeight="false" outlineLevel="0" collapsed="false">
      <c r="A18" s="1"/>
      <c r="B18" s="1" t="s">
        <v>13</v>
      </c>
      <c r="C18" s="2" t="n">
        <v>0.92452847219878</v>
      </c>
    </row>
    <row r="19" customFormat="false" ht="13.8" hidden="false" customHeight="false" outlineLevel="0" collapsed="false">
      <c r="A19" s="1"/>
      <c r="B19" s="1" t="s">
        <v>14</v>
      </c>
      <c r="C19" s="2" t="n">
        <v>0.924594361553132</v>
      </c>
    </row>
    <row r="20" customFormat="false" ht="13.8" hidden="false" customHeight="false" outlineLevel="0" collapsed="false">
      <c r="A20" s="1"/>
      <c r="B20" s="1" t="s">
        <v>15</v>
      </c>
      <c r="C20" s="2" t="n">
        <v>0.63881807861339</v>
      </c>
    </row>
    <row r="21" customFormat="false" ht="13.8" hidden="false" customHeight="false" outlineLevel="0" collapsed="false">
      <c r="A21" s="1"/>
      <c r="B21" s="1" t="s">
        <v>16</v>
      </c>
      <c r="C21" s="2" t="n">
        <v>0.845045917506116</v>
      </c>
    </row>
    <row r="22" customFormat="false" ht="13.8" hidden="false" customHeight="false" outlineLevel="0" collapsed="false">
      <c r="A22" s="1"/>
      <c r="B22" s="1" t="s">
        <v>17</v>
      </c>
      <c r="C22" s="2" t="n">
        <v>0.71861778335103</v>
      </c>
    </row>
    <row r="23" customFormat="false" ht="13.8" hidden="false" customHeight="false" outlineLevel="0" collapsed="false">
      <c r="A23" s="1" t="s">
        <v>18</v>
      </c>
      <c r="B23" s="1" t="s">
        <v>10</v>
      </c>
      <c r="C23" s="2" t="n">
        <v>0.829519396405074</v>
      </c>
    </row>
    <row r="24" customFormat="false" ht="13.8" hidden="false" customHeight="false" outlineLevel="0" collapsed="false">
      <c r="A24" s="1"/>
      <c r="B24" s="1" t="s">
        <v>12</v>
      </c>
      <c r="C24" s="2" t="n">
        <v>0.704632514490106</v>
      </c>
    </row>
    <row r="25" customFormat="false" ht="13.8" hidden="false" customHeight="false" outlineLevel="0" collapsed="false">
      <c r="A25" s="1"/>
      <c r="B25" s="1" t="s">
        <v>13</v>
      </c>
      <c r="C25" s="2" t="n">
        <v>0.875113443967796</v>
      </c>
    </row>
    <row r="26" customFormat="false" ht="13.8" hidden="false" customHeight="false" outlineLevel="0" collapsed="false">
      <c r="A26" s="1"/>
      <c r="B26" s="1" t="s">
        <v>14</v>
      </c>
      <c r="C26" s="2" t="n">
        <v>0.441784363163986</v>
      </c>
    </row>
    <row r="27" customFormat="false" ht="13.8" hidden="false" customHeight="false" outlineLevel="0" collapsed="false">
      <c r="A27" s="1"/>
      <c r="B27" s="1" t="s">
        <v>15</v>
      </c>
      <c r="C27" s="2" t="n">
        <v>0.371352316177025</v>
      </c>
    </row>
    <row r="28" customFormat="false" ht="13.8" hidden="false" customHeight="false" outlineLevel="0" collapsed="false">
      <c r="A28" s="1"/>
      <c r="B28" s="1" t="s">
        <v>16</v>
      </c>
      <c r="C28" s="2" t="n">
        <v>0.829519396405074</v>
      </c>
    </row>
    <row r="29" customFormat="false" ht="13.8" hidden="false" customHeight="false" outlineLevel="0" collapsed="false">
      <c r="A29" s="1"/>
      <c r="B29" s="1" t="s">
        <v>17</v>
      </c>
      <c r="C29" s="2" t="n">
        <v>0.724957273105928</v>
      </c>
    </row>
    <row r="30" customFormat="false" ht="13.8" hidden="false" customHeight="false" outlineLevel="0" collapsed="false">
      <c r="A30" s="1" t="s">
        <v>9</v>
      </c>
      <c r="B30" s="1" t="s">
        <v>10</v>
      </c>
      <c r="C30" s="2" t="n">
        <v>0.00104376430602749</v>
      </c>
    </row>
    <row r="31" customFormat="false" ht="13.8" hidden="false" customHeight="false" outlineLevel="0" collapsed="false">
      <c r="A31" s="1"/>
      <c r="B31" s="1" t="s">
        <v>12</v>
      </c>
      <c r="C31" s="2" t="n">
        <v>0.919124890844107</v>
      </c>
    </row>
    <row r="32" customFormat="false" ht="13.8" hidden="false" customHeight="false" outlineLevel="0" collapsed="false">
      <c r="A32" s="1"/>
      <c r="B32" s="1" t="s">
        <v>13</v>
      </c>
      <c r="C32" s="2" t="n">
        <v>0.90872527047708</v>
      </c>
    </row>
    <row r="33" customFormat="false" ht="13.8" hidden="false" customHeight="false" outlineLevel="0" collapsed="false">
      <c r="A33" s="1"/>
      <c r="B33" s="1" t="s">
        <v>14</v>
      </c>
      <c r="C33" s="2" t="n">
        <v>0.848781071852415</v>
      </c>
    </row>
    <row r="34" customFormat="false" ht="13.8" hidden="false" customHeight="false" outlineLevel="0" collapsed="false">
      <c r="A34" s="1"/>
      <c r="B34" s="1" t="s">
        <v>15</v>
      </c>
      <c r="C34" s="2" t="n">
        <v>0.0142298834999107</v>
      </c>
    </row>
    <row r="35" customFormat="false" ht="13.8" hidden="false" customHeight="false" outlineLevel="0" collapsed="false">
      <c r="A35" s="1"/>
      <c r="B35" s="1" t="s">
        <v>16</v>
      </c>
      <c r="C35" s="2" t="n">
        <v>0.00104376430602749</v>
      </c>
    </row>
    <row r="36" customFormat="false" ht="13.8" hidden="false" customHeight="false" outlineLevel="0" collapsed="false">
      <c r="A36" s="1"/>
      <c r="B36" s="1" t="s">
        <v>17</v>
      </c>
      <c r="C36" s="2" t="n">
        <v>0.711419678708769</v>
      </c>
    </row>
  </sheetData>
  <mergeCells count="5">
    <mergeCell ref="A2:A8"/>
    <mergeCell ref="A9:A15"/>
    <mergeCell ref="A16:A22"/>
    <mergeCell ref="A23:A29"/>
    <mergeCell ref="A30:A36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G36" activeCellId="0" sqref="G36"/>
    </sheetView>
  </sheetViews>
  <sheetFormatPr defaultColWidth="9.15234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7</v>
      </c>
      <c r="D1" s="1" t="s">
        <v>8</v>
      </c>
      <c r="E1" s="1" t="s">
        <v>3</v>
      </c>
      <c r="F1" s="1" t="s">
        <v>4</v>
      </c>
      <c r="G1" s="1" t="s">
        <v>6</v>
      </c>
    </row>
    <row r="2" customFormat="false" ht="13.8" hidden="false" customHeight="false" outlineLevel="0" collapsed="false">
      <c r="A2" s="2" t="s">
        <v>20</v>
      </c>
      <c r="B2" s="2" t="s">
        <v>10</v>
      </c>
      <c r="C2" s="3" t="n">
        <v>1.78627525737315</v>
      </c>
      <c r="D2" s="3" t="n">
        <v>-0.298932941158526</v>
      </c>
      <c r="E2" s="3" t="n">
        <v>-0.000151144527948541</v>
      </c>
      <c r="F2" s="3" t="n">
        <v>0.0140007504196432</v>
      </c>
      <c r="G2" s="3" t="n">
        <v>0.657097170993426</v>
      </c>
    </row>
    <row r="3" customFormat="false" ht="13.8" hidden="false" customHeight="false" outlineLevel="0" collapsed="false">
      <c r="A3" s="2" t="s">
        <v>20</v>
      </c>
      <c r="B3" s="2" t="s">
        <v>12</v>
      </c>
      <c r="C3" s="3" t="n">
        <v>1.82948863293718</v>
      </c>
      <c r="D3" s="3" t="n">
        <v>0.212812646626988</v>
      </c>
      <c r="E3" s="3" t="n">
        <v>0.000804217199463889</v>
      </c>
      <c r="F3" s="3" t="n">
        <v>0.0132631988255765</v>
      </c>
      <c r="G3" s="3" t="n">
        <v>0.920382192558499</v>
      </c>
    </row>
    <row r="4" customFormat="false" ht="13.8" hidden="false" customHeight="false" outlineLevel="0" collapsed="false">
      <c r="A4" s="2" t="s">
        <v>20</v>
      </c>
      <c r="B4" s="2" t="s">
        <v>13</v>
      </c>
      <c r="C4" s="3" t="n">
        <v>1.91852831254766</v>
      </c>
      <c r="D4" s="3" t="n">
        <v>-0.806465919826353</v>
      </c>
      <c r="E4" s="3" t="n">
        <v>0.000829911798299213</v>
      </c>
      <c r="F4" s="3" t="n">
        <v>0.0179678935694354</v>
      </c>
      <c r="G4" s="3" t="n">
        <v>0.898219148142863</v>
      </c>
    </row>
    <row r="5" customFormat="false" ht="13.8" hidden="false" customHeight="false" outlineLevel="0" collapsed="false">
      <c r="A5" s="2" t="s">
        <v>20</v>
      </c>
      <c r="B5" s="2" t="s">
        <v>14</v>
      </c>
      <c r="C5" s="3" t="n">
        <v>1.88423931603423</v>
      </c>
      <c r="D5" s="3" t="n">
        <v>-0.342317767326498</v>
      </c>
      <c r="E5" s="3" t="n">
        <v>0.00184629447987681</v>
      </c>
      <c r="F5" s="3" t="n">
        <v>0.0204008761306057</v>
      </c>
      <c r="G5" s="3" t="n">
        <v>0.728224819240518</v>
      </c>
    </row>
    <row r="6" customFormat="false" ht="13.8" hidden="false" customHeight="false" outlineLevel="0" collapsed="false">
      <c r="A6" s="2" t="s">
        <v>20</v>
      </c>
      <c r="B6" s="2" t="s">
        <v>15</v>
      </c>
      <c r="C6" s="3" t="n">
        <v>1.65433383523342</v>
      </c>
      <c r="D6" s="3" t="n">
        <v>-0.30571951510574</v>
      </c>
      <c r="E6" s="3" t="n">
        <v>-0.00107078719681752</v>
      </c>
      <c r="F6" s="3" t="n">
        <v>0.0143400995857171</v>
      </c>
      <c r="G6" s="3" t="n">
        <v>0.688148269447223</v>
      </c>
    </row>
    <row r="7" customFormat="false" ht="13.8" hidden="false" customHeight="false" outlineLevel="0" collapsed="false">
      <c r="A7" s="2" t="s">
        <v>20</v>
      </c>
      <c r="B7" s="2" t="s">
        <v>16</v>
      </c>
      <c r="C7" s="3" t="n">
        <v>1.88433357477775</v>
      </c>
      <c r="D7" s="3" t="n">
        <v>-0.999981884863669</v>
      </c>
      <c r="E7" s="3" t="n">
        <v>-0.000125535720186333</v>
      </c>
      <c r="F7" s="3" t="n">
        <v>0.0144646535649498</v>
      </c>
      <c r="G7" s="3" t="n">
        <v>0.403468558189889</v>
      </c>
    </row>
    <row r="8" customFormat="false" ht="13.8" hidden="false" customHeight="false" outlineLevel="0" collapsed="false">
      <c r="A8" s="2" t="s">
        <v>20</v>
      </c>
      <c r="B8" s="2" t="s">
        <v>17</v>
      </c>
      <c r="C8" s="3" t="n">
        <v>1.85539194491889</v>
      </c>
      <c r="D8" s="3" t="n">
        <v>-0.67545218819793</v>
      </c>
      <c r="E8" s="3" t="n">
        <v>-0.000213172374830147</v>
      </c>
      <c r="F8" s="3" t="n">
        <v>0.0145599106167359</v>
      </c>
      <c r="G8" s="3" t="n">
        <v>0.937532060756054</v>
      </c>
    </row>
    <row r="9" customFormat="false" ht="13.8" hidden="false" customHeight="false" outlineLevel="0" collapsed="false">
      <c r="A9" s="2" t="s">
        <v>21</v>
      </c>
      <c r="B9" s="2" t="s">
        <v>10</v>
      </c>
      <c r="C9" s="3" t="n">
        <v>1.73531850249765</v>
      </c>
      <c r="D9" s="3" t="n">
        <v>-0.294055952221401</v>
      </c>
      <c r="E9" s="3" t="n">
        <v>-0.000443114168430347</v>
      </c>
      <c r="F9" s="3" t="n">
        <v>0.0122546289034157</v>
      </c>
      <c r="G9" s="3" t="n">
        <v>0.888108396954748</v>
      </c>
    </row>
    <row r="10" customFormat="false" ht="13.8" hidden="false" customHeight="false" outlineLevel="0" collapsed="false">
      <c r="A10" s="2" t="s">
        <v>21</v>
      </c>
      <c r="B10" s="2" t="s">
        <v>12</v>
      </c>
      <c r="C10" s="3" t="n">
        <v>1.89986179441832</v>
      </c>
      <c r="D10" s="3" t="n">
        <v>0.0978543418988842</v>
      </c>
      <c r="E10" s="3" t="n">
        <v>-0.000199636951211982</v>
      </c>
      <c r="F10" s="3" t="n">
        <v>0.0111133137065937</v>
      </c>
      <c r="G10" s="3" t="n">
        <v>0.965866416244613</v>
      </c>
    </row>
    <row r="11" customFormat="false" ht="13.8" hidden="false" customHeight="false" outlineLevel="0" collapsed="false">
      <c r="A11" s="2" t="s">
        <v>21</v>
      </c>
      <c r="B11" s="2" t="s">
        <v>13</v>
      </c>
      <c r="C11" s="3" t="n">
        <v>1.94589763987327</v>
      </c>
      <c r="D11" s="3" t="n">
        <v>-0.999961300629886</v>
      </c>
      <c r="E11" s="3" t="n">
        <v>-7.33225289729196E-005</v>
      </c>
      <c r="F11" s="3" t="n">
        <v>0.0172285656596831</v>
      </c>
      <c r="G11" s="3" t="n">
        <v>0.746104451000285</v>
      </c>
    </row>
    <row r="12" customFormat="false" ht="13.8" hidden="false" customHeight="false" outlineLevel="0" collapsed="false">
      <c r="A12" s="2" t="s">
        <v>21</v>
      </c>
      <c r="B12" s="2" t="s">
        <v>14</v>
      </c>
      <c r="C12" s="3" t="n">
        <v>1.85784060253921</v>
      </c>
      <c r="D12" s="3" t="n">
        <v>0.154294746140458</v>
      </c>
      <c r="E12" s="3" t="n">
        <v>0.000554576391975751</v>
      </c>
      <c r="F12" s="3" t="n">
        <v>0.0185489884798761</v>
      </c>
      <c r="G12" s="3" t="n">
        <v>0.933257924091966</v>
      </c>
    </row>
    <row r="13" customFormat="false" ht="13.8" hidden="false" customHeight="false" outlineLevel="0" collapsed="false">
      <c r="A13" s="2" t="s">
        <v>21</v>
      </c>
      <c r="B13" s="2" t="s">
        <v>15</v>
      </c>
      <c r="C13" s="3" t="n">
        <v>1.63312054609096</v>
      </c>
      <c r="D13" s="3" t="n">
        <v>-0.296684848722141</v>
      </c>
      <c r="E13" s="3" t="n">
        <v>-0.00229919358318932</v>
      </c>
      <c r="F13" s="3" t="n">
        <v>0.0121744543741331</v>
      </c>
      <c r="G13" s="3" t="n">
        <v>0.968204809601971</v>
      </c>
    </row>
    <row r="14" customFormat="false" ht="13.8" hidden="false" customHeight="false" outlineLevel="0" collapsed="false">
      <c r="A14" s="2" t="s">
        <v>21</v>
      </c>
      <c r="B14" s="2" t="s">
        <v>16</v>
      </c>
      <c r="C14" s="3" t="n">
        <v>1.84153122145633</v>
      </c>
      <c r="D14" s="3" t="n">
        <v>-0.658029347828349</v>
      </c>
      <c r="E14" s="3" t="n">
        <v>-0.00149593819597381</v>
      </c>
      <c r="F14" s="3" t="n">
        <v>0.0134772330051813</v>
      </c>
      <c r="G14" s="3" t="n">
        <v>0.826589274334538</v>
      </c>
    </row>
    <row r="15" customFormat="false" ht="13.8" hidden="false" customHeight="false" outlineLevel="0" collapsed="false">
      <c r="A15" s="2" t="s">
        <v>21</v>
      </c>
      <c r="B15" s="2" t="s">
        <v>17</v>
      </c>
      <c r="C15" s="3" t="n">
        <v>1.89564178737078</v>
      </c>
      <c r="D15" s="3" t="n">
        <v>-0.786802866556339</v>
      </c>
      <c r="E15" s="3" t="n">
        <v>-0.00100441737876324</v>
      </c>
      <c r="F15" s="3" t="n">
        <v>0.0134499677593593</v>
      </c>
      <c r="G15" s="3" t="n">
        <v>0.954673990955621</v>
      </c>
    </row>
    <row r="16" customFormat="false" ht="13.8" hidden="false" customHeight="false" outlineLevel="0" collapsed="false">
      <c r="A16" s="2" t="s">
        <v>9</v>
      </c>
      <c r="B16" s="2" t="s">
        <v>10</v>
      </c>
      <c r="C16" s="3" t="n">
        <v>1.86370629515752</v>
      </c>
      <c r="D16" s="3" t="n">
        <v>-0.999983995616048</v>
      </c>
      <c r="E16" s="3" t="n">
        <v>6.42154932719577E-005</v>
      </c>
      <c r="F16" s="3" t="n">
        <v>0.0145159138446709</v>
      </c>
      <c r="G16" s="3" t="n">
        <v>0.536093602296502</v>
      </c>
    </row>
    <row r="17" customFormat="false" ht="13.8" hidden="false" customHeight="false" outlineLevel="0" collapsed="false">
      <c r="A17" s="2" t="s">
        <v>9</v>
      </c>
      <c r="B17" s="2" t="s">
        <v>12</v>
      </c>
      <c r="C17" s="3" t="n">
        <v>1.90136731655063</v>
      </c>
      <c r="D17" s="3" t="n">
        <v>0.147735301929523</v>
      </c>
      <c r="E17" s="3" t="n">
        <v>-0.00056545578915224</v>
      </c>
      <c r="F17" s="3" t="n">
        <v>0.0118099366567544</v>
      </c>
      <c r="G17" s="3" t="n">
        <v>0.982767416430015</v>
      </c>
    </row>
    <row r="18" customFormat="false" ht="13.8" hidden="false" customHeight="false" outlineLevel="0" collapsed="false">
      <c r="A18" s="2" t="s">
        <v>9</v>
      </c>
      <c r="B18" s="2" t="s">
        <v>13</v>
      </c>
      <c r="C18" s="3" t="n">
        <v>2</v>
      </c>
      <c r="D18" s="3" t="n">
        <v>-1</v>
      </c>
      <c r="E18" s="3" t="n">
        <v>0.0014799314439021</v>
      </c>
      <c r="F18" s="3" t="n">
        <v>0.0195847301169015</v>
      </c>
      <c r="G18" s="3" t="n">
        <v>0.972637417386075</v>
      </c>
    </row>
    <row r="19" customFormat="false" ht="13.8" hidden="false" customHeight="false" outlineLevel="0" collapsed="false">
      <c r="A19" s="2" t="s">
        <v>9</v>
      </c>
      <c r="B19" s="2" t="s">
        <v>14</v>
      </c>
      <c r="C19" s="3" t="n">
        <v>1.85355890452069</v>
      </c>
      <c r="D19" s="3" t="n">
        <v>0.138753835087768</v>
      </c>
      <c r="E19" s="3" t="n">
        <v>0.00184629447987681</v>
      </c>
      <c r="F19" s="3" t="n">
        <v>0.0204008761306057</v>
      </c>
      <c r="G19" s="3" t="n">
        <v>0.964829746849398</v>
      </c>
    </row>
    <row r="20" customFormat="false" ht="13.8" hidden="false" customHeight="false" outlineLevel="0" collapsed="false">
      <c r="A20" s="2" t="s">
        <v>9</v>
      </c>
      <c r="B20" s="2" t="s">
        <v>15</v>
      </c>
      <c r="C20" s="3" t="n">
        <v>1.60700283763713</v>
      </c>
      <c r="D20" s="3" t="n">
        <v>-0.374336819766315</v>
      </c>
      <c r="E20" s="3" t="n">
        <v>-0.00285007298197194</v>
      </c>
      <c r="F20" s="3" t="n">
        <v>0.0133410439355004</v>
      </c>
      <c r="G20" s="3" t="n">
        <v>0.980471803807027</v>
      </c>
    </row>
    <row r="21" customFormat="false" ht="13.8" hidden="false" customHeight="false" outlineLevel="0" collapsed="false">
      <c r="A21" s="2" t="s">
        <v>9</v>
      </c>
      <c r="B21" s="2" t="s">
        <v>16</v>
      </c>
      <c r="C21" s="3" t="n">
        <v>1.87829065827397</v>
      </c>
      <c r="D21" s="3" t="n">
        <v>-0.999980515132486</v>
      </c>
      <c r="E21" s="3" t="n">
        <v>-0.00210694358445437</v>
      </c>
      <c r="F21" s="3" t="n">
        <v>0.0144646535649498</v>
      </c>
      <c r="G21" s="3" t="n">
        <v>0.36240045277988</v>
      </c>
    </row>
    <row r="22" customFormat="false" ht="13.8" hidden="false" customHeight="false" outlineLevel="0" collapsed="false">
      <c r="A22" s="2" t="s">
        <v>9</v>
      </c>
      <c r="B22" s="2" t="s">
        <v>17</v>
      </c>
      <c r="C22" s="3" t="n">
        <v>1.93595734161349</v>
      </c>
      <c r="D22" s="3" t="n">
        <v>-0.999958493995226</v>
      </c>
      <c r="E22" s="3" t="n">
        <v>-0.0014219388176897</v>
      </c>
      <c r="F22" s="3" t="n">
        <v>0.0151088771677001</v>
      </c>
      <c r="G22" s="3" t="n">
        <v>0.894978374772587</v>
      </c>
    </row>
    <row r="23" customFormat="false" ht="13.8" hidden="false" customHeight="false" outlineLevel="0" collapsed="false">
      <c r="A23" s="2" t="s">
        <v>18</v>
      </c>
      <c r="B23" s="2" t="s">
        <v>10</v>
      </c>
      <c r="C23" s="3" t="n">
        <v>1.9119491898116</v>
      </c>
      <c r="D23" s="3" t="n">
        <v>-0.999984437879311</v>
      </c>
      <c r="E23" s="3" t="n">
        <v>-0.00208432278731461</v>
      </c>
      <c r="F23" s="3" t="n">
        <v>0.0159988705428635</v>
      </c>
      <c r="G23" s="3" t="n">
        <v>0.899462186484537</v>
      </c>
    </row>
    <row r="24" customFormat="false" ht="13.8" hidden="false" customHeight="false" outlineLevel="0" collapsed="false">
      <c r="A24" s="2" t="s">
        <v>18</v>
      </c>
      <c r="B24" s="2" t="s">
        <v>12</v>
      </c>
      <c r="C24" s="3" t="n">
        <v>1.85560814358289</v>
      </c>
      <c r="D24" s="3" t="n">
        <v>0.436156548323265</v>
      </c>
      <c r="E24" s="3" t="n">
        <v>-0.00151574930706094</v>
      </c>
      <c r="F24" s="3" t="n">
        <v>0.0124490775983235</v>
      </c>
      <c r="G24" s="3" t="n">
        <v>0.962326331845616</v>
      </c>
    </row>
    <row r="25" customFormat="false" ht="13.8" hidden="false" customHeight="false" outlineLevel="0" collapsed="false">
      <c r="A25" s="2" t="s">
        <v>18</v>
      </c>
      <c r="B25" s="2" t="s">
        <v>13</v>
      </c>
      <c r="C25" s="3" t="n">
        <v>1.99999711635031</v>
      </c>
      <c r="D25" s="3" t="n">
        <v>0.159413136509206</v>
      </c>
      <c r="E25" s="3" t="n">
        <v>-0.00199783027492716</v>
      </c>
      <c r="F25" s="3" t="n">
        <v>0.0212376661680042</v>
      </c>
      <c r="G25" s="3" t="n">
        <v>0.875049258273537</v>
      </c>
    </row>
    <row r="26" customFormat="false" ht="13.8" hidden="false" customHeight="false" outlineLevel="0" collapsed="false">
      <c r="A26" s="2" t="s">
        <v>18</v>
      </c>
      <c r="B26" s="2" t="s">
        <v>14</v>
      </c>
      <c r="C26" s="3" t="n">
        <v>1.81923214175318</v>
      </c>
      <c r="D26" s="3" t="n">
        <v>0.260306729180056</v>
      </c>
      <c r="E26" s="3" t="n">
        <v>-0.00255281806388551</v>
      </c>
      <c r="F26" s="3" t="n">
        <v>0.0201573822747187</v>
      </c>
      <c r="G26" s="3" t="n">
        <v>0.724832656214983</v>
      </c>
    </row>
    <row r="27" customFormat="false" ht="13.8" hidden="false" customHeight="false" outlineLevel="0" collapsed="false">
      <c r="A27" s="2" t="s">
        <v>18</v>
      </c>
      <c r="B27" s="2" t="s">
        <v>15</v>
      </c>
      <c r="C27" s="3" t="n">
        <v>1.58464830881132</v>
      </c>
      <c r="D27" s="3" t="n">
        <v>-0.241642418196088</v>
      </c>
      <c r="E27" s="3" t="n">
        <v>-0.00403677444340172</v>
      </c>
      <c r="F27" s="3" t="n">
        <v>0.014143994347288</v>
      </c>
      <c r="G27" s="3" t="n">
        <v>0.98269551364764</v>
      </c>
    </row>
    <row r="28" customFormat="false" ht="13.8" hidden="false" customHeight="false" outlineLevel="0" collapsed="false">
      <c r="A28" s="2" t="s">
        <v>18</v>
      </c>
      <c r="B28" s="2" t="s">
        <v>16</v>
      </c>
      <c r="C28" s="3" t="n">
        <v>1.92209999534298</v>
      </c>
      <c r="D28" s="3" t="n">
        <v>-0.999970133547254</v>
      </c>
      <c r="E28" s="3" t="n">
        <v>-0.00274014111634488</v>
      </c>
      <c r="F28" s="3" t="n">
        <v>0.0155622174136578</v>
      </c>
      <c r="G28" s="3" t="n">
        <v>0.860370767697603</v>
      </c>
    </row>
    <row r="29" customFormat="false" ht="13.8" hidden="false" customHeight="false" outlineLevel="0" collapsed="false">
      <c r="A29" s="2" t="s">
        <v>18</v>
      </c>
      <c r="B29" s="2" t="s">
        <v>17</v>
      </c>
      <c r="C29" s="3" t="n">
        <v>1.99999377843971</v>
      </c>
      <c r="D29" s="3" t="n">
        <v>-0.150724353321467</v>
      </c>
      <c r="E29" s="3" t="n">
        <v>-0.00237397759548913</v>
      </c>
      <c r="F29" s="3" t="n">
        <v>0.0165106520211407</v>
      </c>
      <c r="G29" s="3" t="n">
        <v>0.724102348713909</v>
      </c>
    </row>
    <row r="30" customFormat="false" ht="13.8" hidden="false" customHeight="false" outlineLevel="0" collapsed="false">
      <c r="A30" s="2" t="s">
        <v>19</v>
      </c>
      <c r="B30" s="2" t="s">
        <v>10</v>
      </c>
      <c r="C30" s="3" t="n">
        <v>1.99999816289777</v>
      </c>
      <c r="D30" s="3" t="n">
        <v>0.297928823442467</v>
      </c>
      <c r="E30" s="3" t="n">
        <v>0.00023433785865217</v>
      </c>
      <c r="F30" s="3" t="n">
        <v>0.0137657820923158</v>
      </c>
      <c r="G30" s="3" t="n">
        <v>0.998299647305633</v>
      </c>
    </row>
    <row r="31" customFormat="false" ht="13.8" hidden="false" customHeight="false" outlineLevel="0" collapsed="false">
      <c r="A31" s="2" t="s">
        <v>19</v>
      </c>
      <c r="B31" s="2" t="s">
        <v>12</v>
      </c>
      <c r="C31" s="3" t="n">
        <v>1.92198805638873</v>
      </c>
      <c r="D31" s="3" t="n">
        <v>0.999990097091642</v>
      </c>
      <c r="E31" s="3" t="n">
        <v>0.000519576251560189</v>
      </c>
      <c r="F31" s="3" t="n">
        <v>0.0100906988152664</v>
      </c>
      <c r="G31" s="3" t="n">
        <v>0.914858860134045</v>
      </c>
    </row>
    <row r="32" customFormat="false" ht="13.8" hidden="false" customHeight="false" outlineLevel="0" collapsed="false">
      <c r="A32" s="2" t="s">
        <v>19</v>
      </c>
      <c r="B32" s="2" t="s">
        <v>13</v>
      </c>
      <c r="C32" s="3" t="n">
        <v>2</v>
      </c>
      <c r="D32" s="3" t="n">
        <v>-1</v>
      </c>
      <c r="E32" s="3" t="n">
        <v>0.00232335616061096</v>
      </c>
      <c r="F32" s="3" t="n">
        <v>0.0184034494160274</v>
      </c>
      <c r="G32" s="3" t="n">
        <v>0.952396917426454</v>
      </c>
    </row>
    <row r="33" customFormat="false" ht="13.8" hidden="false" customHeight="false" outlineLevel="0" collapsed="false">
      <c r="A33" s="2" t="s">
        <v>19</v>
      </c>
      <c r="B33" s="2" t="s">
        <v>14</v>
      </c>
      <c r="C33" s="3" t="n">
        <v>1.90761712511298</v>
      </c>
      <c r="D33" s="3" t="n">
        <v>-0.999972784527182</v>
      </c>
      <c r="E33" s="3" t="n">
        <v>-0.00292884363453957</v>
      </c>
      <c r="F33" s="3" t="n">
        <v>0.0172633917081589</v>
      </c>
      <c r="G33" s="3" t="n">
        <v>0.973943516349093</v>
      </c>
    </row>
    <row r="34" customFormat="false" ht="13.8" hidden="false" customHeight="false" outlineLevel="0" collapsed="false">
      <c r="A34" s="2" t="s">
        <v>19</v>
      </c>
      <c r="B34" s="2" t="s">
        <v>15</v>
      </c>
      <c r="C34" s="3" t="n">
        <v>1.6239728737094</v>
      </c>
      <c r="D34" s="3" t="n">
        <v>0.58092745278139</v>
      </c>
      <c r="E34" s="3" t="n">
        <v>0.00130700497606276</v>
      </c>
      <c r="F34" s="3" t="n">
        <v>0.0105353478084765</v>
      </c>
      <c r="G34" s="3" t="n">
        <v>0.997954901755685</v>
      </c>
    </row>
    <row r="35" customFormat="false" ht="13.8" hidden="false" customHeight="false" outlineLevel="0" collapsed="false">
      <c r="A35" s="2" t="s">
        <v>19</v>
      </c>
      <c r="B35" s="2" t="s">
        <v>16</v>
      </c>
      <c r="C35" s="3" t="n">
        <v>1.99999406221943</v>
      </c>
      <c r="D35" s="3" t="n">
        <v>-0.17205845452505</v>
      </c>
      <c r="E35" s="3" t="n">
        <v>0.000449681697388743</v>
      </c>
      <c r="F35" s="3" t="n">
        <v>0.0122840273327716</v>
      </c>
      <c r="G35" s="3" t="n">
        <v>0.748594114624592</v>
      </c>
    </row>
    <row r="36" customFormat="false" ht="13.8" hidden="false" customHeight="false" outlineLevel="0" collapsed="false">
      <c r="A36" s="2" t="s">
        <v>19</v>
      </c>
      <c r="B36" s="2" t="s">
        <v>17</v>
      </c>
      <c r="C36" s="3" t="n">
        <v>2</v>
      </c>
      <c r="D36" s="3" t="n">
        <v>-1</v>
      </c>
      <c r="E36" s="3" t="n">
        <v>0.00116089130791259</v>
      </c>
      <c r="F36" s="3" t="n">
        <v>0.0125105078982861</v>
      </c>
      <c r="G36" s="3" t="n">
        <v>0.518577670703919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34" colorId="64" zoomScale="180" zoomScaleNormal="180" zoomScalePageLayoutView="100" workbookViewId="0">
      <selection pane="topLeft" activeCell="E36" activeCellId="0" sqref="E36"/>
    </sheetView>
  </sheetViews>
  <sheetFormatPr defaultColWidth="9.15234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</row>
    <row r="2" customFormat="false" ht="13.8" hidden="false" customHeight="false" outlineLevel="0" collapsed="false">
      <c r="A2" s="2" t="s">
        <v>20</v>
      </c>
      <c r="B2" s="2" t="s">
        <v>10</v>
      </c>
      <c r="C2" s="3" t="n">
        <v>-2.95075258163897E-005</v>
      </c>
      <c r="D2" s="3" t="n">
        <v>0.0224695427439112</v>
      </c>
      <c r="E2" s="3" t="n">
        <v>0.000587997250029392</v>
      </c>
    </row>
    <row r="3" customFormat="false" ht="13.8" hidden="false" customHeight="false" outlineLevel="0" collapsed="false">
      <c r="A3" s="2" t="s">
        <v>20</v>
      </c>
      <c r="B3" s="2" t="s">
        <v>12</v>
      </c>
      <c r="C3" s="3" t="n">
        <v>0.000671543586416265</v>
      </c>
      <c r="D3" s="3" t="n">
        <v>0.0210409079801923</v>
      </c>
      <c r="E3" s="3" t="n">
        <v>0.312103917237801</v>
      </c>
    </row>
    <row r="4" customFormat="false" ht="13.8" hidden="false" customHeight="false" outlineLevel="0" collapsed="false">
      <c r="A4" s="2" t="s">
        <v>20</v>
      </c>
      <c r="B4" s="2" t="s">
        <v>13</v>
      </c>
      <c r="C4" s="3" t="n">
        <v>0.00106853365779782</v>
      </c>
      <c r="D4" s="3" t="n">
        <v>0.0267887807474974</v>
      </c>
      <c r="E4" s="3" t="n">
        <v>0.382474064632232</v>
      </c>
    </row>
    <row r="5" customFormat="false" ht="13.8" hidden="false" customHeight="false" outlineLevel="0" collapsed="false">
      <c r="A5" s="2" t="s">
        <v>20</v>
      </c>
      <c r="B5" s="2" t="s">
        <v>14</v>
      </c>
      <c r="C5" s="3" t="n">
        <v>0.000870902138714046</v>
      </c>
      <c r="D5" s="3" t="n">
        <v>0.0384121514657613</v>
      </c>
      <c r="E5" s="3" t="n">
        <v>0.000338585313287854</v>
      </c>
    </row>
    <row r="6" customFormat="false" ht="13.8" hidden="false" customHeight="false" outlineLevel="0" collapsed="false">
      <c r="A6" s="2" t="s">
        <v>20</v>
      </c>
      <c r="B6" s="2" t="s">
        <v>15</v>
      </c>
      <c r="C6" s="3" t="n">
        <v>-0.000636556363399391</v>
      </c>
      <c r="D6" s="3" t="n">
        <v>0.0272184498714738</v>
      </c>
      <c r="E6" s="3" t="n">
        <v>0.00758501887826366</v>
      </c>
    </row>
    <row r="7" customFormat="false" ht="13.8" hidden="false" customHeight="false" outlineLevel="0" collapsed="false">
      <c r="A7" s="2" t="s">
        <v>20</v>
      </c>
      <c r="B7" s="2" t="s">
        <v>16</v>
      </c>
      <c r="C7" s="3" t="n">
        <v>-0.00104315231672798</v>
      </c>
      <c r="D7" s="3" t="n">
        <v>0.0273909008838298</v>
      </c>
      <c r="E7" s="3" t="n">
        <v>0.000587997250029392</v>
      </c>
    </row>
    <row r="8" customFormat="false" ht="13.8" hidden="false" customHeight="false" outlineLevel="0" collapsed="false">
      <c r="A8" s="2" t="s">
        <v>20</v>
      </c>
      <c r="B8" s="2" t="s">
        <v>17</v>
      </c>
      <c r="C8" s="3" t="n">
        <v>0.000248024137806659</v>
      </c>
      <c r="D8" s="3" t="n">
        <v>0.0224226908530721</v>
      </c>
      <c r="E8" s="3" t="n">
        <v>0.274968788172407</v>
      </c>
    </row>
    <row r="9" customFormat="false" ht="13.8" hidden="false" customHeight="false" outlineLevel="0" collapsed="false">
      <c r="A9" s="2" t="s">
        <v>21</v>
      </c>
      <c r="B9" s="2" t="s">
        <v>10</v>
      </c>
      <c r="C9" s="3" t="n">
        <v>-0.000315908180613612</v>
      </c>
      <c r="D9" s="3" t="n">
        <v>0.0201163755674034</v>
      </c>
      <c r="E9" s="3" t="n">
        <v>0.358988198384626</v>
      </c>
    </row>
    <row r="10" customFormat="false" ht="13.8" hidden="false" customHeight="false" outlineLevel="0" collapsed="false">
      <c r="A10" s="2" t="s">
        <v>21</v>
      </c>
      <c r="B10" s="2" t="s">
        <v>12</v>
      </c>
      <c r="C10" s="3" t="n">
        <v>-0.000236225500138865</v>
      </c>
      <c r="D10" s="3" t="n">
        <v>0.016583727196545</v>
      </c>
      <c r="E10" s="3" t="n">
        <v>0.831195196189712</v>
      </c>
    </row>
    <row r="11" customFormat="false" ht="13.8" hidden="false" customHeight="false" outlineLevel="0" collapsed="false">
      <c r="A11" s="2" t="s">
        <v>21</v>
      </c>
      <c r="B11" s="2" t="s">
        <v>13</v>
      </c>
      <c r="C11" s="3" t="n">
        <v>0.000694307284885175</v>
      </c>
      <c r="D11" s="3" t="n">
        <v>0.0249051967673214</v>
      </c>
      <c r="E11" s="3" t="n">
        <v>0.67546270824922</v>
      </c>
    </row>
    <row r="12" customFormat="false" ht="13.8" hidden="false" customHeight="false" outlineLevel="0" collapsed="false">
      <c r="A12" s="2" t="s">
        <v>21</v>
      </c>
      <c r="B12" s="2" t="s">
        <v>14</v>
      </c>
      <c r="C12" s="3" t="n">
        <v>0.000252434597628095</v>
      </c>
      <c r="D12" s="3" t="n">
        <v>0.0286577901413832</v>
      </c>
      <c r="E12" s="3" t="n">
        <v>0.562544483120022</v>
      </c>
    </row>
    <row r="13" customFormat="false" ht="13.8" hidden="false" customHeight="false" outlineLevel="0" collapsed="false">
      <c r="A13" s="2" t="s">
        <v>21</v>
      </c>
      <c r="B13" s="2" t="s">
        <v>15</v>
      </c>
      <c r="C13" s="3" t="n">
        <v>-0.00241720122757576</v>
      </c>
      <c r="D13" s="3" t="n">
        <v>0.0258253608055778</v>
      </c>
      <c r="E13" s="3" t="n">
        <v>0.00281999701573878</v>
      </c>
    </row>
    <row r="14" customFormat="false" ht="13.8" hidden="false" customHeight="false" outlineLevel="0" collapsed="false">
      <c r="A14" s="2" t="s">
        <v>21</v>
      </c>
      <c r="B14" s="2" t="s">
        <v>16</v>
      </c>
      <c r="C14" s="3" t="n">
        <v>-0.00236836485067163</v>
      </c>
      <c r="D14" s="3" t="n">
        <v>0.0291021139039796</v>
      </c>
      <c r="E14" s="3" t="n">
        <v>9.68009401203402E-005</v>
      </c>
    </row>
    <row r="15" customFormat="false" ht="13.8" hidden="false" customHeight="false" outlineLevel="0" collapsed="false">
      <c r="A15" s="2" t="s">
        <v>21</v>
      </c>
      <c r="B15" s="2" t="s">
        <v>17</v>
      </c>
      <c r="C15" s="3" t="n">
        <v>-0.000665940773247998</v>
      </c>
      <c r="D15" s="3" t="n">
        <v>0.0199902460495915</v>
      </c>
      <c r="E15" s="3" t="n">
        <v>0.579621302765288</v>
      </c>
    </row>
    <row r="16" customFormat="false" ht="13.8" hidden="false" customHeight="false" outlineLevel="0" collapsed="false">
      <c r="A16" s="2" t="s">
        <v>9</v>
      </c>
      <c r="B16" s="2" t="s">
        <v>10</v>
      </c>
      <c r="C16" s="3" t="n">
        <v>0.000163370873741691</v>
      </c>
      <c r="D16" s="3" t="n">
        <v>0.0222877338602343</v>
      </c>
      <c r="E16" s="3" t="n">
        <v>0.00104376430602749</v>
      </c>
    </row>
    <row r="17" customFormat="false" ht="13.8" hidden="false" customHeight="false" outlineLevel="0" collapsed="false">
      <c r="A17" s="2" t="s">
        <v>9</v>
      </c>
      <c r="B17" s="2" t="s">
        <v>12</v>
      </c>
      <c r="C17" s="3" t="n">
        <v>-0.000612825293191503</v>
      </c>
      <c r="D17" s="3" t="n">
        <v>0.0175657282380493</v>
      </c>
      <c r="E17" s="3" t="n">
        <v>0.919124890844107</v>
      </c>
    </row>
    <row r="18" customFormat="false" ht="13.8" hidden="false" customHeight="false" outlineLevel="0" collapsed="false">
      <c r="A18" s="2" t="s">
        <v>9</v>
      </c>
      <c r="B18" s="2" t="s">
        <v>13</v>
      </c>
      <c r="C18" s="3" t="n">
        <v>0.000176037365502849</v>
      </c>
      <c r="D18" s="3" t="n">
        <v>0.0276662823880674</v>
      </c>
      <c r="E18" s="3" t="n">
        <v>0.90872527047708</v>
      </c>
    </row>
    <row r="19" customFormat="false" ht="13.8" hidden="false" customHeight="false" outlineLevel="0" collapsed="false">
      <c r="A19" s="2" t="s">
        <v>9</v>
      </c>
      <c r="B19" s="2" t="s">
        <v>14</v>
      </c>
      <c r="C19" s="3" t="n">
        <v>-0.000363974412709196</v>
      </c>
      <c r="D19" s="3" t="n">
        <v>0.0308509926731855</v>
      </c>
      <c r="E19" s="3" t="n">
        <v>0.848781071852415</v>
      </c>
    </row>
    <row r="20" customFormat="false" ht="13.8" hidden="false" customHeight="false" outlineLevel="0" collapsed="false">
      <c r="A20" s="2" t="s">
        <v>9</v>
      </c>
      <c r="B20" s="2" t="s">
        <v>15</v>
      </c>
      <c r="C20" s="3" t="n">
        <v>-0.00273666226740147</v>
      </c>
      <c r="D20" s="3" t="n">
        <v>0.0288320409776019</v>
      </c>
      <c r="E20" s="3" t="n">
        <v>0.0142298834999107</v>
      </c>
    </row>
    <row r="21" customFormat="false" ht="13.8" hidden="false" customHeight="false" outlineLevel="0" collapsed="false">
      <c r="A21" s="2" t="s">
        <v>9</v>
      </c>
      <c r="B21" s="2" t="s">
        <v>16</v>
      </c>
      <c r="C21" s="3" t="n">
        <v>-0.00298258301927143</v>
      </c>
      <c r="D21" s="3" t="n">
        <v>0.0322570108001407</v>
      </c>
      <c r="E21" s="3" t="n">
        <v>0.00104376430602749</v>
      </c>
    </row>
    <row r="22" customFormat="false" ht="13.8" hidden="false" customHeight="false" outlineLevel="0" collapsed="false">
      <c r="A22" s="2" t="s">
        <v>9</v>
      </c>
      <c r="B22" s="2" t="s">
        <v>17</v>
      </c>
      <c r="C22" s="3" t="n">
        <v>-0.00108968955952756</v>
      </c>
      <c r="D22" s="3" t="n">
        <v>0.0219193402369101</v>
      </c>
      <c r="E22" s="3" t="n">
        <v>0.711419678708769</v>
      </c>
    </row>
    <row r="23" customFormat="false" ht="13.8" hidden="false" customHeight="false" outlineLevel="0" collapsed="false">
      <c r="A23" s="2" t="s">
        <v>18</v>
      </c>
      <c r="B23" s="2" t="s">
        <v>10</v>
      </c>
      <c r="C23" s="3" t="n">
        <v>-0.00173986504918486</v>
      </c>
      <c r="D23" s="3" t="n">
        <v>0.0237077326592687</v>
      </c>
      <c r="E23" s="3" t="n">
        <v>0.829519396405074</v>
      </c>
    </row>
    <row r="24" customFormat="false" ht="13.8" hidden="false" customHeight="false" outlineLevel="0" collapsed="false">
      <c r="A24" s="2" t="s">
        <v>18</v>
      </c>
      <c r="B24" s="2" t="s">
        <v>12</v>
      </c>
      <c r="C24" s="3" t="n">
        <v>-0.00180017124333929</v>
      </c>
      <c r="D24" s="3" t="n">
        <v>0.0188644999254652</v>
      </c>
      <c r="E24" s="3" t="n">
        <v>0.704632514490106</v>
      </c>
    </row>
    <row r="25" customFormat="false" ht="13.8" hidden="false" customHeight="false" outlineLevel="0" collapsed="false">
      <c r="A25" s="2" t="s">
        <v>18</v>
      </c>
      <c r="B25" s="2" t="s">
        <v>13</v>
      </c>
      <c r="C25" s="3" t="n">
        <v>-0.00199740908848693</v>
      </c>
      <c r="D25" s="3" t="n">
        <v>0.0300348035139301</v>
      </c>
      <c r="E25" s="3" t="n">
        <v>0.875113443967796</v>
      </c>
    </row>
    <row r="26" customFormat="false" ht="13.8" hidden="false" customHeight="false" outlineLevel="0" collapsed="false">
      <c r="A26" s="2" t="s">
        <v>18</v>
      </c>
      <c r="B26" s="2" t="s">
        <v>14</v>
      </c>
      <c r="C26" s="3" t="n">
        <v>-0.00341487061939433</v>
      </c>
      <c r="D26" s="3" t="n">
        <v>0.0314641824726181</v>
      </c>
      <c r="E26" s="3" t="n">
        <v>0.441784363163986</v>
      </c>
    </row>
    <row r="27" customFormat="false" ht="13.8" hidden="false" customHeight="false" outlineLevel="0" collapsed="false">
      <c r="A27" s="2" t="s">
        <v>18</v>
      </c>
      <c r="B27" s="2" t="s">
        <v>15</v>
      </c>
      <c r="C27" s="3" t="n">
        <v>-0.00313565000678062</v>
      </c>
      <c r="D27" s="3" t="n">
        <v>0.0254069513174426</v>
      </c>
      <c r="E27" s="3" t="n">
        <v>0.371352316177025</v>
      </c>
    </row>
    <row r="28" customFormat="false" ht="13.8" hidden="false" customHeight="false" outlineLevel="0" collapsed="false">
      <c r="A28" s="2" t="s">
        <v>18</v>
      </c>
      <c r="B28" s="2" t="s">
        <v>16</v>
      </c>
      <c r="C28" s="3" t="n">
        <v>-0.00245996113363936</v>
      </c>
      <c r="D28" s="3" t="n">
        <v>0.0230587860316347</v>
      </c>
      <c r="E28" s="3" t="n">
        <v>0.829519396405074</v>
      </c>
    </row>
    <row r="29" customFormat="false" ht="13.8" hidden="false" customHeight="false" outlineLevel="0" collapsed="false">
      <c r="A29" s="2" t="s">
        <v>18</v>
      </c>
      <c r="B29" s="2" t="s">
        <v>17</v>
      </c>
      <c r="C29" s="3" t="n">
        <v>-0.00237681488344859</v>
      </c>
      <c r="D29" s="3" t="n">
        <v>0.0233493062360686</v>
      </c>
      <c r="E29" s="3" t="n">
        <v>0.724957273105928</v>
      </c>
    </row>
    <row r="30" customFormat="false" ht="13.8" hidden="false" customHeight="false" outlineLevel="0" collapsed="false">
      <c r="A30" s="2" t="s">
        <v>19</v>
      </c>
      <c r="B30" s="2" t="s">
        <v>10</v>
      </c>
      <c r="C30" s="3" t="n">
        <v>0.000232401079596641</v>
      </c>
      <c r="D30" s="3" t="n">
        <v>0.0194649800449155</v>
      </c>
      <c r="E30" s="3" t="n">
        <v>0.845045917506116</v>
      </c>
    </row>
    <row r="31" customFormat="false" ht="13.8" hidden="false" customHeight="false" outlineLevel="0" collapsed="false">
      <c r="A31" s="2" t="s">
        <v>19</v>
      </c>
      <c r="B31" s="2" t="s">
        <v>12</v>
      </c>
      <c r="C31" s="3" t="n">
        <v>0.000683035824435558</v>
      </c>
      <c r="D31" s="3" t="n">
        <v>0.0147213146851551</v>
      </c>
      <c r="E31" s="3" t="n">
        <v>0.808910656767043</v>
      </c>
    </row>
    <row r="32" customFormat="false" ht="13.8" hidden="false" customHeight="false" outlineLevel="0" collapsed="false">
      <c r="A32" s="2" t="s">
        <v>19</v>
      </c>
      <c r="B32" s="2" t="s">
        <v>13</v>
      </c>
      <c r="C32" s="3" t="n">
        <v>0.00179480735414733</v>
      </c>
      <c r="D32" s="3" t="n">
        <v>0.0243862737257516</v>
      </c>
      <c r="E32" s="3" t="n">
        <v>0.92452847219878</v>
      </c>
    </row>
    <row r="33" customFormat="false" ht="13.8" hidden="false" customHeight="false" outlineLevel="0" collapsed="false">
      <c r="A33" s="2" t="s">
        <v>19</v>
      </c>
      <c r="B33" s="2" t="s">
        <v>14</v>
      </c>
      <c r="C33" s="3" t="n">
        <v>-0.00292779658088959</v>
      </c>
      <c r="D33" s="3" t="n">
        <v>0.0275216088528602</v>
      </c>
      <c r="E33" s="3" t="n">
        <v>0.924594361553132</v>
      </c>
    </row>
    <row r="34" customFormat="false" ht="13.8" hidden="false" customHeight="false" outlineLevel="0" collapsed="false">
      <c r="A34" s="2" t="s">
        <v>19</v>
      </c>
      <c r="B34" s="2" t="s">
        <v>15</v>
      </c>
      <c r="C34" s="3" t="n">
        <v>0.00062642483921875</v>
      </c>
      <c r="D34" s="3" t="n">
        <v>0.0199031749723039</v>
      </c>
      <c r="E34" s="3" t="n">
        <v>0.63881807861339</v>
      </c>
    </row>
    <row r="35" customFormat="false" ht="13.8" hidden="false" customHeight="false" outlineLevel="0" collapsed="false">
      <c r="A35" s="2" t="s">
        <v>19</v>
      </c>
      <c r="B35" s="2" t="s">
        <v>16</v>
      </c>
      <c r="C35" s="3" t="n">
        <v>5.03021937260299E-005</v>
      </c>
      <c r="D35" s="3" t="n">
        <v>0.017376494372828</v>
      </c>
      <c r="E35" s="3" t="n">
        <v>0.845045917506116</v>
      </c>
    </row>
    <row r="36" customFormat="false" ht="13.8" hidden="false" customHeight="false" outlineLevel="0" collapsed="false">
      <c r="A36" s="2" t="s">
        <v>19</v>
      </c>
      <c r="B36" s="2" t="s">
        <v>17</v>
      </c>
      <c r="C36" s="3" t="n">
        <v>0.000367418427524887</v>
      </c>
      <c r="D36" s="3" t="n">
        <v>0.0175327942875668</v>
      </c>
      <c r="E36" s="3" t="n">
        <v>0.71861778335103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true" showOutlineSymbols="true" defaultGridColor="true" view="normal" topLeftCell="E13" colorId="64" zoomScale="180" zoomScaleNormal="180" zoomScalePageLayoutView="100" workbookViewId="0">
      <selection pane="topLeft" activeCell="G25" activeCellId="0" sqref="G25"/>
    </sheetView>
  </sheetViews>
  <sheetFormatPr defaultColWidth="9.15234375" defaultRowHeight="13.8" zeroHeight="false" outlineLevelRow="0" outlineLevelCol="0"/>
  <cols>
    <col collapsed="false" customWidth="true" hidden="false" outlineLevel="0" max="4" min="4" style="0" width="11.16"/>
  </cols>
  <sheetData>
    <row r="1" customFormat="false" ht="13.8" hidden="false" customHeight="false" outlineLevel="0" collapsed="false">
      <c r="A1" s="0" t="s">
        <v>23</v>
      </c>
      <c r="B1" s="0" t="s">
        <v>12</v>
      </c>
      <c r="C1" s="0" t="s">
        <v>15</v>
      </c>
      <c r="D1" s="0" t="s">
        <v>16</v>
      </c>
      <c r="E1" s="0" t="s">
        <v>10</v>
      </c>
      <c r="F1" s="0" t="s">
        <v>13</v>
      </c>
      <c r="G1" s="0" t="s">
        <v>14</v>
      </c>
      <c r="H1" s="0" t="s">
        <v>17</v>
      </c>
    </row>
    <row r="2" customFormat="false" ht="13.8" hidden="false" customHeight="false" outlineLevel="0" collapsed="false">
      <c r="A2" s="0" t="s">
        <v>24</v>
      </c>
      <c r="B2" s="0" t="n">
        <v>0.879</v>
      </c>
      <c r="C2" s="0" t="n">
        <v>0.914</v>
      </c>
      <c r="D2" s="0" t="n">
        <v>0.935</v>
      </c>
      <c r="E2" s="0" t="n">
        <v>0.941</v>
      </c>
      <c r="F2" s="0" t="n">
        <v>0.94</v>
      </c>
      <c r="G2" s="0" t="n">
        <v>0.928</v>
      </c>
      <c r="H2" s="0" t="n">
        <v>0.92</v>
      </c>
      <c r="K2" s="1"/>
      <c r="L2" s="1"/>
    </row>
    <row r="3" customFormat="false" ht="13.8" hidden="false" customHeight="false" outlineLevel="0" collapsed="false">
      <c r="A3" s="0" t="s">
        <v>25</v>
      </c>
      <c r="B3" s="0" t="n">
        <v>0.879</v>
      </c>
      <c r="C3" s="0" t="n">
        <v>0.914</v>
      </c>
      <c r="D3" s="0" t="n">
        <v>0.935</v>
      </c>
      <c r="E3" s="0" t="n">
        <v>0.941</v>
      </c>
      <c r="F3" s="0" t="n">
        <v>0.94</v>
      </c>
      <c r="G3" s="0" t="n">
        <v>0.928</v>
      </c>
      <c r="H3" s="0" t="n">
        <v>0.92</v>
      </c>
      <c r="J3" s="2"/>
      <c r="K3" s="2"/>
      <c r="L3" s="2"/>
    </row>
    <row r="4" customFormat="false" ht="13.8" hidden="false" customHeight="false" outlineLevel="0" collapsed="false">
      <c r="A4" s="0" t="s">
        <v>26</v>
      </c>
      <c r="B4" s="0" t="n">
        <v>0.879</v>
      </c>
      <c r="C4" s="0" t="n">
        <v>0.916</v>
      </c>
      <c r="D4" s="0" t="n">
        <v>0.936</v>
      </c>
      <c r="E4" s="0" t="n">
        <v>0.944</v>
      </c>
      <c r="F4" s="0" t="n">
        <v>0.942</v>
      </c>
      <c r="G4" s="0" t="n">
        <v>0.929</v>
      </c>
      <c r="H4" s="0" t="n">
        <v>0.921</v>
      </c>
      <c r="J4" s="2"/>
      <c r="K4" s="2"/>
      <c r="L4" s="2"/>
    </row>
    <row r="5" customFormat="false" ht="13.8" hidden="false" customHeight="false" outlineLevel="0" collapsed="false">
      <c r="A5" s="0" t="s">
        <v>27</v>
      </c>
      <c r="B5" s="0" t="n">
        <v>0.851</v>
      </c>
      <c r="C5" s="0" t="n">
        <v>0.911</v>
      </c>
      <c r="D5" s="0" t="n">
        <v>0.883</v>
      </c>
      <c r="E5" s="0" t="n">
        <v>0.917</v>
      </c>
      <c r="F5" s="0" t="n">
        <v>0.913</v>
      </c>
      <c r="G5" s="0" t="n">
        <v>0.891</v>
      </c>
      <c r="H5" s="0" t="n">
        <v>0.891</v>
      </c>
      <c r="J5" s="2"/>
      <c r="K5" s="2"/>
      <c r="L5" s="2"/>
    </row>
    <row r="6" customFormat="false" ht="13.8" hidden="false" customHeight="false" outlineLevel="0" collapsed="false">
      <c r="A6" s="0" t="s">
        <v>28</v>
      </c>
      <c r="B6" s="0" t="n">
        <v>0.705</v>
      </c>
      <c r="C6" s="0" t="n">
        <v>0.762</v>
      </c>
      <c r="D6" s="0" t="n">
        <v>0.752</v>
      </c>
      <c r="E6" s="0" t="n">
        <v>0.754</v>
      </c>
      <c r="F6" s="0" t="n">
        <v>0.773</v>
      </c>
      <c r="G6" s="0" t="n">
        <v>0.753</v>
      </c>
      <c r="H6" s="0" t="n">
        <v>0.748</v>
      </c>
      <c r="J6" s="2"/>
      <c r="K6" s="2"/>
      <c r="L6" s="2"/>
    </row>
    <row r="7" customFormat="false" ht="13.8" hidden="false" customHeight="false" outlineLevel="0" collapsed="false">
      <c r="A7" s="0" t="s">
        <v>29</v>
      </c>
      <c r="B7" s="0" t="n">
        <v>0.879</v>
      </c>
      <c r="C7" s="0" t="n">
        <v>0.916</v>
      </c>
      <c r="D7" s="0" t="n">
        <v>0.936</v>
      </c>
      <c r="E7" s="0" t="n">
        <v>0.944</v>
      </c>
      <c r="F7" s="0" t="n">
        <v>0.942</v>
      </c>
      <c r="G7" s="0" t="n">
        <v>0.929</v>
      </c>
      <c r="H7" s="0" t="n">
        <v>0.921</v>
      </c>
      <c r="J7" s="2"/>
      <c r="K7" s="2"/>
      <c r="L7" s="2"/>
    </row>
    <row r="8" customFormat="false" ht="13.8" hidden="false" customHeight="false" outlineLevel="0" collapsed="false">
      <c r="J8" s="2"/>
      <c r="K8" s="2"/>
      <c r="L8" s="2"/>
    </row>
    <row r="9" customFormat="false" ht="13.8" hidden="false" customHeight="false" outlineLevel="0" collapsed="false">
      <c r="A9" s="0" t="s">
        <v>23</v>
      </c>
      <c r="B9" s="0" t="s">
        <v>12</v>
      </c>
      <c r="C9" s="0" t="s">
        <v>15</v>
      </c>
      <c r="D9" s="0" t="s">
        <v>16</v>
      </c>
      <c r="E9" s="0" t="s">
        <v>10</v>
      </c>
      <c r="F9" s="0" t="s">
        <v>13</v>
      </c>
      <c r="G9" s="0" t="s">
        <v>14</v>
      </c>
      <c r="H9" s="0" t="s">
        <v>17</v>
      </c>
      <c r="J9" s="2"/>
      <c r="K9" s="2"/>
      <c r="L9" s="2"/>
    </row>
    <row r="10" customFormat="false" ht="13.8" hidden="false" customHeight="false" outlineLevel="0" collapsed="false">
      <c r="A10" s="0" t="s">
        <v>24</v>
      </c>
      <c r="B10" s="0" t="n">
        <f aca="false">AVERAGE(B2,B$7)</f>
        <v>0.879</v>
      </c>
      <c r="C10" s="0" t="n">
        <f aca="false">AVERAGE(C2,C$7)</f>
        <v>0.915</v>
      </c>
      <c r="D10" s="0" t="n">
        <f aca="false">AVERAGE(D2,D$7)</f>
        <v>0.9355</v>
      </c>
      <c r="E10" s="0" t="n">
        <f aca="false">AVERAGE(E2,E$7)</f>
        <v>0.9425</v>
      </c>
      <c r="F10" s="0" t="n">
        <f aca="false">AVERAGE(F2,F$7)</f>
        <v>0.941</v>
      </c>
      <c r="G10" s="0" t="n">
        <f aca="false">AVERAGE(G2,G$7)</f>
        <v>0.9285</v>
      </c>
      <c r="H10" s="0" t="n">
        <f aca="false">AVERAGE(H2,H$7)</f>
        <v>0.9205</v>
      </c>
    </row>
    <row r="11" customFormat="false" ht="13.8" hidden="false" customHeight="false" outlineLevel="0" collapsed="false">
      <c r="A11" s="0" t="s">
        <v>25</v>
      </c>
      <c r="B11" s="0" t="n">
        <f aca="false">AVERAGE(B3,B$7)</f>
        <v>0.879</v>
      </c>
      <c r="C11" s="0" t="n">
        <f aca="false">AVERAGE(C3,C$7)</f>
        <v>0.915</v>
      </c>
      <c r="D11" s="0" t="n">
        <f aca="false">AVERAGE(D3,D$7)</f>
        <v>0.9355</v>
      </c>
      <c r="E11" s="0" t="n">
        <f aca="false">AVERAGE(E3,E$7)</f>
        <v>0.9425</v>
      </c>
      <c r="F11" s="0" t="n">
        <f aca="false">AVERAGE(F3,F$7)</f>
        <v>0.941</v>
      </c>
      <c r="G11" s="0" t="n">
        <f aca="false">AVERAGE(G3,G$7)</f>
        <v>0.9285</v>
      </c>
      <c r="H11" s="0" t="n">
        <f aca="false">AVERAGE(H3,H$7)</f>
        <v>0.9205</v>
      </c>
    </row>
    <row r="12" customFormat="false" ht="13.8" hidden="false" customHeight="false" outlineLevel="0" collapsed="false">
      <c r="A12" s="0" t="s">
        <v>26</v>
      </c>
      <c r="B12" s="0" t="n">
        <f aca="false">AVERAGE(B4,B$7)</f>
        <v>0.879</v>
      </c>
      <c r="C12" s="0" t="n">
        <f aca="false">AVERAGE(C4,C$7)</f>
        <v>0.916</v>
      </c>
      <c r="D12" s="0" t="n">
        <f aca="false">AVERAGE(D4,D$7)</f>
        <v>0.936</v>
      </c>
      <c r="E12" s="0" t="n">
        <f aca="false">AVERAGE(E4,E$7)</f>
        <v>0.944</v>
      </c>
      <c r="F12" s="0" t="n">
        <f aca="false">AVERAGE(F4,F$7)</f>
        <v>0.942</v>
      </c>
      <c r="G12" s="0" t="n">
        <f aca="false">AVERAGE(G4,G$7)</f>
        <v>0.929</v>
      </c>
      <c r="H12" s="0" t="n">
        <f aca="false">AVERAGE(H4,H$7)</f>
        <v>0.921</v>
      </c>
      <c r="K12" s="4"/>
      <c r="L12" s="4"/>
      <c r="M12" s="4"/>
      <c r="N12" s="4"/>
      <c r="O12" s="4"/>
      <c r="P12" s="4"/>
      <c r="Q12" s="4"/>
    </row>
    <row r="13" customFormat="false" ht="13.8" hidden="false" customHeight="false" outlineLevel="0" collapsed="false">
      <c r="A13" s="0" t="s">
        <v>27</v>
      </c>
      <c r="B13" s="0" t="n">
        <f aca="false">AVERAGE(B5,B$7)</f>
        <v>0.865</v>
      </c>
      <c r="C13" s="0" t="n">
        <f aca="false">AVERAGE(C5,C$7)</f>
        <v>0.9135</v>
      </c>
      <c r="D13" s="0" t="n">
        <f aca="false">AVERAGE(D5,D$7)</f>
        <v>0.9095</v>
      </c>
      <c r="E13" s="0" t="n">
        <f aca="false">AVERAGE(E5,E$7)</f>
        <v>0.9305</v>
      </c>
      <c r="F13" s="0" t="n">
        <f aca="false">AVERAGE(F5,F$7)</f>
        <v>0.9275</v>
      </c>
      <c r="G13" s="0" t="n">
        <f aca="false">AVERAGE(G5,G$7)</f>
        <v>0.91</v>
      </c>
      <c r="H13" s="0" t="n">
        <f aca="false">AVERAGE(H5,H$7)</f>
        <v>0.906</v>
      </c>
      <c r="K13" s="4"/>
      <c r="L13" s="4"/>
      <c r="M13" s="4"/>
      <c r="N13" s="4"/>
      <c r="O13" s="4"/>
      <c r="P13" s="4"/>
      <c r="Q13" s="4"/>
    </row>
    <row r="14" customFormat="false" ht="13.8" hidden="false" customHeight="false" outlineLevel="0" collapsed="false">
      <c r="A14" s="0" t="s">
        <v>28</v>
      </c>
      <c r="B14" s="0" t="n">
        <f aca="false">AVERAGE(B6,B$7)</f>
        <v>0.792</v>
      </c>
      <c r="C14" s="0" t="n">
        <f aca="false">AVERAGE(C6,C$7)</f>
        <v>0.839</v>
      </c>
      <c r="D14" s="0" t="n">
        <f aca="false">AVERAGE(D6,D$7)</f>
        <v>0.844</v>
      </c>
      <c r="E14" s="0" t="n">
        <f aca="false">AVERAGE(E6,E$7)</f>
        <v>0.849</v>
      </c>
      <c r="F14" s="0" t="n">
        <f aca="false">AVERAGE(F6,F$7)</f>
        <v>0.8575</v>
      </c>
      <c r="G14" s="0" t="n">
        <f aca="false">AVERAGE(G6,G$7)</f>
        <v>0.841</v>
      </c>
      <c r="H14" s="0" t="n">
        <f aca="false">AVERAGE(H6,H$7)</f>
        <v>0.8345</v>
      </c>
    </row>
    <row r="16" customFormat="false" ht="13.8" hidden="false" customHeight="false" outlineLevel="0" collapsed="false">
      <c r="A16" s="0" t="s">
        <v>23</v>
      </c>
      <c r="B16" s="0" t="s">
        <v>24</v>
      </c>
      <c r="C16" s="0" t="s">
        <v>25</v>
      </c>
      <c r="D16" s="0" t="s">
        <v>26</v>
      </c>
      <c r="E16" s="0" t="s">
        <v>30</v>
      </c>
      <c r="F16" s="0" t="s">
        <v>31</v>
      </c>
      <c r="G16" s="0" t="s">
        <v>32</v>
      </c>
      <c r="H16" s="0" t="s">
        <v>33</v>
      </c>
    </row>
    <row r="17" customFormat="false" ht="13.8" hidden="false" customHeight="false" outlineLevel="0" collapsed="false">
      <c r="A17" s="0" t="s">
        <v>12</v>
      </c>
      <c r="B17" s="5" t="n">
        <v>0.879</v>
      </c>
      <c r="C17" s="5" t="n">
        <v>0.879</v>
      </c>
      <c r="D17" s="5" t="n">
        <v>0.879</v>
      </c>
      <c r="E17" s="5" t="n">
        <v>0.865</v>
      </c>
      <c r="F17" s="5" t="n">
        <v>0.792</v>
      </c>
      <c r="G17" s="0" t="n">
        <f aca="false">+D26</f>
        <v>0.7885</v>
      </c>
      <c r="H17" s="0" t="n">
        <f aca="false">+I26</f>
        <v>0.268</v>
      </c>
    </row>
    <row r="18" customFormat="false" ht="13.8" hidden="false" customHeight="false" outlineLevel="0" collapsed="false">
      <c r="A18" s="0" t="s">
        <v>15</v>
      </c>
      <c r="B18" s="5" t="n">
        <v>0.915</v>
      </c>
      <c r="C18" s="5" t="n">
        <v>0.915</v>
      </c>
      <c r="D18" s="5" t="n">
        <v>0.916</v>
      </c>
      <c r="E18" s="5" t="n">
        <v>0.9135</v>
      </c>
      <c r="F18" s="5" t="n">
        <v>0.839</v>
      </c>
      <c r="G18" s="0" t="n">
        <f aca="false">+D27</f>
        <v>0.8245</v>
      </c>
      <c r="H18" s="0" t="n">
        <f aca="false">+I27</f>
        <v>0.248</v>
      </c>
    </row>
    <row r="19" customFormat="false" ht="13.8" hidden="false" customHeight="false" outlineLevel="0" collapsed="false">
      <c r="A19" s="0" t="s">
        <v>16</v>
      </c>
      <c r="B19" s="5" t="n">
        <v>0.9355</v>
      </c>
      <c r="C19" s="5" t="n">
        <v>0.9355</v>
      </c>
      <c r="D19" s="5" t="n">
        <v>0.936</v>
      </c>
      <c r="E19" s="5" t="n">
        <v>0.9095</v>
      </c>
      <c r="F19" s="5" t="n">
        <v>0.844</v>
      </c>
      <c r="G19" s="0" t="n">
        <f aca="false">+D28</f>
        <v>0.8325</v>
      </c>
      <c r="H19" s="0" t="n">
        <f aca="false">+I28</f>
        <v>0.2495</v>
      </c>
    </row>
    <row r="20" customFormat="false" ht="13.8" hidden="false" customHeight="false" outlineLevel="0" collapsed="false">
      <c r="A20" s="0" t="s">
        <v>10</v>
      </c>
      <c r="B20" s="5" t="n">
        <v>0.9425</v>
      </c>
      <c r="C20" s="5" t="n">
        <v>0.9425</v>
      </c>
      <c r="D20" s="5" t="n">
        <v>0.944</v>
      </c>
      <c r="E20" s="5" t="n">
        <v>0.9305</v>
      </c>
      <c r="F20" s="5" t="n">
        <v>0.849</v>
      </c>
      <c r="G20" s="0" t="n">
        <f aca="false">+D29</f>
        <v>0.8005</v>
      </c>
      <c r="H20" s="0" t="n">
        <f aca="false">+I29</f>
        <v>0.2525</v>
      </c>
    </row>
    <row r="21" customFormat="false" ht="13.8" hidden="false" customHeight="false" outlineLevel="0" collapsed="false">
      <c r="A21" s="0" t="s">
        <v>13</v>
      </c>
      <c r="B21" s="5" t="n">
        <v>0.941</v>
      </c>
      <c r="C21" s="5" t="n">
        <v>0.941</v>
      </c>
      <c r="D21" s="5" t="n">
        <v>0.942</v>
      </c>
      <c r="E21" s="5" t="n">
        <v>0.9275</v>
      </c>
      <c r="F21" s="5" t="n">
        <v>0.8575</v>
      </c>
      <c r="G21" s="0" t="n">
        <f aca="false">+D30</f>
        <v>0.845</v>
      </c>
      <c r="H21" s="0" t="n">
        <f aca="false">+I30</f>
        <v>0.2375</v>
      </c>
    </row>
    <row r="22" customFormat="false" ht="13.8" hidden="false" customHeight="false" outlineLevel="0" collapsed="false">
      <c r="A22" s="0" t="s">
        <v>14</v>
      </c>
      <c r="B22" s="5" t="n">
        <v>0.9285</v>
      </c>
      <c r="C22" s="5" t="n">
        <v>0.9285</v>
      </c>
      <c r="D22" s="5" t="n">
        <v>0.929</v>
      </c>
      <c r="E22" s="5" t="n">
        <v>0.91</v>
      </c>
      <c r="F22" s="5" t="n">
        <v>0.841</v>
      </c>
      <c r="G22" s="0" t="n">
        <f aca="false">+D31</f>
        <v>0.8655</v>
      </c>
      <c r="H22" s="0" t="n">
        <f aca="false">+I31</f>
        <v>0.2695</v>
      </c>
    </row>
    <row r="23" customFormat="false" ht="13.8" hidden="false" customHeight="false" outlineLevel="0" collapsed="false">
      <c r="A23" s="0" t="s">
        <v>17</v>
      </c>
      <c r="B23" s="5" t="n">
        <v>0.9205</v>
      </c>
      <c r="C23" s="5" t="n">
        <v>0.9205</v>
      </c>
      <c r="D23" s="5" t="n">
        <v>0.921</v>
      </c>
      <c r="E23" s="5" t="n">
        <v>0.906</v>
      </c>
      <c r="F23" s="5" t="n">
        <v>0.8345</v>
      </c>
      <c r="G23" s="0" t="n">
        <f aca="false">+D32</f>
        <v>0.8255</v>
      </c>
      <c r="H23" s="0" t="n">
        <f aca="false">+I32</f>
        <v>0.253</v>
      </c>
    </row>
    <row r="25" customFormat="false" ht="41.75" hidden="false" customHeight="false" outlineLevel="0" collapsed="false">
      <c r="A25" s="6" t="s">
        <v>1</v>
      </c>
      <c r="B25" s="6" t="s">
        <v>34</v>
      </c>
      <c r="C25" s="6" t="s">
        <v>35</v>
      </c>
      <c r="D25" s="6" t="s">
        <v>36</v>
      </c>
      <c r="F25" s="7" t="s">
        <v>37</v>
      </c>
      <c r="G25" s="7" t="s">
        <v>38</v>
      </c>
      <c r="H25" s="7" t="s">
        <v>35</v>
      </c>
      <c r="I25" s="7" t="s">
        <v>36</v>
      </c>
    </row>
    <row r="26" customFormat="false" ht="14.9" hidden="false" customHeight="false" outlineLevel="0" collapsed="false">
      <c r="A26" s="6" t="s">
        <v>12</v>
      </c>
      <c r="B26" s="7" t="n">
        <v>0.785</v>
      </c>
      <c r="C26" s="7" t="n">
        <v>0.792</v>
      </c>
      <c r="D26" s="7" t="n">
        <f aca="false">AVERAGE(B26,C26)</f>
        <v>0.7885</v>
      </c>
      <c r="F26" s="6" t="s">
        <v>12</v>
      </c>
      <c r="G26" s="7" t="n">
        <v>0.123</v>
      </c>
      <c r="H26" s="7" t="n">
        <v>0.413</v>
      </c>
      <c r="I26" s="7" t="n">
        <f aca="false">AVERAGE(G26,H26)</f>
        <v>0.268</v>
      </c>
    </row>
    <row r="27" customFormat="false" ht="14.9" hidden="false" customHeight="false" outlineLevel="0" collapsed="false">
      <c r="A27" s="6" t="s">
        <v>15</v>
      </c>
      <c r="B27" s="7" t="n">
        <v>0.812</v>
      </c>
      <c r="C27" s="7" t="n">
        <v>0.837</v>
      </c>
      <c r="D27" s="7" t="n">
        <f aca="false">AVERAGE(B27,C27)</f>
        <v>0.8245</v>
      </c>
      <c r="F27" s="6" t="s">
        <v>15</v>
      </c>
      <c r="G27" s="7" t="n">
        <v>0.089</v>
      </c>
      <c r="H27" s="7" t="n">
        <v>0.407</v>
      </c>
      <c r="I27" s="7" t="n">
        <f aca="false">AVERAGE(G27,H27)</f>
        <v>0.248</v>
      </c>
    </row>
    <row r="28" customFormat="false" ht="14.9" hidden="false" customHeight="false" outlineLevel="0" collapsed="false">
      <c r="A28" s="6" t="s">
        <v>16</v>
      </c>
      <c r="B28" s="7" t="n">
        <v>0.813</v>
      </c>
      <c r="C28" s="7" t="n">
        <v>0.852</v>
      </c>
      <c r="D28" s="7" t="n">
        <f aca="false">AVERAGE(B28,C28)</f>
        <v>0.8325</v>
      </c>
      <c r="F28" s="6" t="s">
        <v>16</v>
      </c>
      <c r="G28" s="7" t="n">
        <v>0.102</v>
      </c>
      <c r="H28" s="7" t="n">
        <v>0.397</v>
      </c>
      <c r="I28" s="7" t="n">
        <f aca="false">AVERAGE(G28,H28)</f>
        <v>0.2495</v>
      </c>
    </row>
    <row r="29" customFormat="false" ht="14.9" hidden="false" customHeight="false" outlineLevel="0" collapsed="false">
      <c r="A29" s="6" t="s">
        <v>10</v>
      </c>
      <c r="B29" s="7" t="n">
        <v>0.817</v>
      </c>
      <c r="C29" s="7" t="n">
        <v>0.784</v>
      </c>
      <c r="D29" s="7" t="n">
        <f aca="false">AVERAGE(B29,C29)</f>
        <v>0.8005</v>
      </c>
      <c r="F29" s="6" t="s">
        <v>10</v>
      </c>
      <c r="G29" s="7" t="n">
        <v>0.075</v>
      </c>
      <c r="H29" s="7" t="n">
        <v>0.43</v>
      </c>
      <c r="I29" s="7" t="n">
        <f aca="false">AVERAGE(G29,H29)</f>
        <v>0.2525</v>
      </c>
    </row>
    <row r="30" customFormat="false" ht="14.9" hidden="false" customHeight="false" outlineLevel="0" collapsed="false">
      <c r="A30" s="6" t="s">
        <v>13</v>
      </c>
      <c r="B30" s="7" t="n">
        <v>0.844</v>
      </c>
      <c r="C30" s="7" t="n">
        <v>0.846</v>
      </c>
      <c r="D30" s="7" t="n">
        <f aca="false">AVERAGE(B30,C30)</f>
        <v>0.845</v>
      </c>
      <c r="F30" s="6" t="s">
        <v>13</v>
      </c>
      <c r="G30" s="7" t="n">
        <v>0.079</v>
      </c>
      <c r="H30" s="7" t="n">
        <v>0.396</v>
      </c>
      <c r="I30" s="7" t="n">
        <f aca="false">AVERAGE(G30,H30)</f>
        <v>0.2375</v>
      </c>
    </row>
    <row r="31" customFormat="false" ht="14.9" hidden="false" customHeight="false" outlineLevel="0" collapsed="false">
      <c r="A31" s="6" t="s">
        <v>14</v>
      </c>
      <c r="B31" s="7" t="n">
        <v>0.862</v>
      </c>
      <c r="C31" s="7" t="n">
        <v>0.869</v>
      </c>
      <c r="D31" s="7" t="n">
        <f aca="false">AVERAGE(B31,C31)</f>
        <v>0.8655</v>
      </c>
      <c r="F31" s="6" t="s">
        <v>14</v>
      </c>
      <c r="G31" s="7" t="n">
        <v>0.087</v>
      </c>
      <c r="H31" s="7" t="n">
        <v>0.452</v>
      </c>
      <c r="I31" s="7" t="n">
        <f aca="false">AVERAGE(G31,H31)</f>
        <v>0.2695</v>
      </c>
    </row>
    <row r="32" customFormat="false" ht="41.75" hidden="false" customHeight="false" outlineLevel="0" collapsed="false">
      <c r="A32" s="6" t="s">
        <v>17</v>
      </c>
      <c r="B32" s="6" t="n">
        <v>0.818</v>
      </c>
      <c r="C32" s="6" t="n">
        <v>0.833</v>
      </c>
      <c r="D32" s="7" t="n">
        <f aca="false">AVERAGE(B32,C32)</f>
        <v>0.8255</v>
      </c>
      <c r="F32" s="6" t="s">
        <v>39</v>
      </c>
      <c r="G32" s="6" t="n">
        <v>0.095</v>
      </c>
      <c r="H32" s="6" t="n">
        <v>0.411</v>
      </c>
      <c r="I32" s="7" t="n">
        <f aca="false">AVERAGE(G32,H32)</f>
        <v>0.253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2025-12-22T16:58:35Z</dcterms:created>
  <dc:creator>openpyxl</dc:creator>
  <dc:description/>
  <dc:language>es-AR</dc:language>
  <cp:lastModifiedBy/>
  <dcterms:modified xsi:type="dcterms:W3CDTF">2026-01-23T12:57:02Z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